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ego\Downloads\"/>
    </mc:Choice>
  </mc:AlternateContent>
  <xr:revisionPtr revIDLastSave="0" documentId="13_ncr:1_{64AB55AD-437B-41F4-93F7-A0A2EDADCCB3}" xr6:coauthVersionLast="47" xr6:coauthVersionMax="47" xr10:uidLastSave="{00000000-0000-0000-0000-000000000000}"/>
  <bookViews>
    <workbookView xWindow="-108" yWindow="-108" windowWidth="23256" windowHeight="12456" tabRatio="500" xr2:uid="{00000000-000D-0000-FFFF-FFFF00000000}"/>
  </bookViews>
  <sheets>
    <sheet name="0. HUB" sheetId="1" r:id="rId1"/>
    <sheet name="TESIS" sheetId="2" r:id="rId2"/>
    <sheet name="9. DATA CHECK" sheetId="3" r:id="rId3"/>
    <sheet name="1. ACCIONES URGENTES" sheetId="4" r:id="rId4"/>
    <sheet name="2. BITÁCORA" sheetId="5" r:id="rId5"/>
    <sheet name="3. KPI SEMANAL" sheetId="6" r:id="rId6"/>
    <sheet name="Antes vs Después" sheetId="7" r:id="rId7"/>
    <sheet name="4. SELL-OUT" sheetId="8" r:id="rId8"/>
    <sheet name="5. SELL-THROUGH" sheetId="9" r:id="rId9"/>
    <sheet name="6. SELL-IN PIPELINE" sheetId="10" r:id="rId10"/>
    <sheet name="Inventario Clan (Odoo)" sheetId="11" r:id="rId11"/>
    <sheet name="HISTÓRICO 112 SEM" sheetId="12" r:id="rId12"/>
    <sheet name="MAX SHELF (VNDR9)" sheetId="13" r:id="rId13"/>
    <sheet name="Modelo Pedido" sheetId="14" r:id="rId14"/>
    <sheet name="Prepedido Oktoberfest" sheetId="15" r:id="rId15"/>
    <sheet name="Liquidación" sheetId="16" r:id="rId16"/>
    <sheet name="Vencimientos" sheetId="17" r:id="rId17"/>
    <sheet name="8. MERCADERISTAS" sheetId="18" r:id="rId18"/>
    <sheet name="Campo v2 (17 tiendas)" sheetId="19" r:id="rId19"/>
    <sheet name="Verificación Campo" sheetId="20" r:id="rId20"/>
    <sheet name="Prioridad Tiendas" sheetId="21" r:id="rId21"/>
    <sheet name="Plantilla Mercaderistas" sheetId="22" r:id="rId22"/>
    <sheet name="7. CATÁLOGO" sheetId="23" r:id="rId23"/>
    <sheet name="Resumen" sheetId="24" r:id="rId24"/>
    <sheet name="Detalle 443 combos" sheetId="25" r:id="rId25"/>
  </sheets>
  <definedNames>
    <definedName name="_xlnm._FilterDatabase" localSheetId="3" hidden="1">'1. ACCIONES URGENTES'!$A$4:$H$18</definedName>
    <definedName name="_xlnm._FilterDatabase" localSheetId="22" hidden="1">'7. CATÁLOGO'!$A$4:$K$25</definedName>
    <definedName name="_xlnm._FilterDatabase" localSheetId="24" hidden="1">'Detalle 443 combos'!$A$3:$P$446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446" i="25" l="1"/>
  <c r="O445" i="25"/>
  <c r="O444" i="25"/>
  <c r="O443" i="25"/>
  <c r="O442" i="25"/>
  <c r="O441" i="25"/>
  <c r="O440" i="25"/>
  <c r="O439" i="25"/>
  <c r="O438" i="25"/>
  <c r="O437" i="25"/>
  <c r="O436" i="25"/>
  <c r="O435" i="25"/>
  <c r="O434" i="25"/>
  <c r="O433" i="25"/>
  <c r="O432" i="25"/>
  <c r="O431" i="25"/>
  <c r="O430" i="25"/>
  <c r="O429" i="25"/>
  <c r="O428" i="25"/>
  <c r="O427" i="25"/>
  <c r="O426" i="25"/>
  <c r="O425" i="25"/>
  <c r="O424" i="25"/>
  <c r="O423" i="25"/>
  <c r="O422" i="25"/>
  <c r="O421" i="25"/>
  <c r="O420" i="25"/>
  <c r="O419" i="25"/>
  <c r="O418" i="25"/>
  <c r="O417" i="25"/>
  <c r="O416" i="25"/>
  <c r="O415" i="25"/>
  <c r="O414" i="25"/>
  <c r="O413" i="25"/>
  <c r="O412" i="25"/>
  <c r="O411" i="25"/>
  <c r="O410" i="25"/>
  <c r="O409" i="25"/>
  <c r="O408" i="25"/>
  <c r="O407" i="25"/>
  <c r="O406" i="25"/>
  <c r="O405" i="25"/>
  <c r="O404" i="25"/>
  <c r="O403" i="25"/>
  <c r="O402" i="25"/>
  <c r="O401" i="25"/>
  <c r="O400" i="25"/>
  <c r="O399" i="25"/>
  <c r="O398" i="25"/>
  <c r="O397" i="25"/>
  <c r="O396" i="25"/>
  <c r="O395" i="25"/>
  <c r="O394" i="25"/>
  <c r="O393" i="25"/>
  <c r="O392" i="25"/>
  <c r="O391" i="25"/>
  <c r="O390" i="25"/>
  <c r="O389" i="25"/>
  <c r="O388" i="25"/>
  <c r="O387" i="25"/>
  <c r="O386" i="25"/>
  <c r="O385" i="25"/>
  <c r="O384" i="25"/>
  <c r="O383" i="25"/>
  <c r="O382" i="25"/>
  <c r="O381" i="25"/>
  <c r="O380" i="25"/>
  <c r="O379" i="25"/>
  <c r="O378" i="25"/>
  <c r="O377" i="25"/>
  <c r="O376" i="25"/>
  <c r="O375" i="25"/>
  <c r="O374" i="25"/>
  <c r="O373" i="25"/>
  <c r="O372" i="25"/>
  <c r="O371" i="25"/>
  <c r="O370" i="25"/>
  <c r="O369" i="25"/>
  <c r="O368" i="25"/>
  <c r="O367" i="25"/>
  <c r="O366" i="25"/>
  <c r="O365" i="25"/>
  <c r="O364" i="25"/>
  <c r="O363" i="25"/>
  <c r="O362" i="25"/>
  <c r="O361" i="25"/>
  <c r="O360" i="25"/>
  <c r="O359" i="25"/>
  <c r="O358" i="25"/>
  <c r="O357" i="25"/>
  <c r="O356" i="25"/>
  <c r="O355" i="25"/>
  <c r="O354" i="25"/>
  <c r="O353" i="25"/>
  <c r="O352" i="25"/>
  <c r="O351" i="25"/>
  <c r="O350" i="25"/>
  <c r="O349" i="25"/>
  <c r="O348" i="25"/>
  <c r="O347" i="25"/>
  <c r="O346" i="25"/>
  <c r="O345" i="25"/>
  <c r="O344" i="25"/>
  <c r="O343" i="25"/>
  <c r="O342" i="25"/>
  <c r="O341" i="25"/>
  <c r="O340" i="25"/>
  <c r="O339" i="25"/>
  <c r="O338" i="25"/>
  <c r="O337" i="25"/>
  <c r="O336" i="25"/>
  <c r="O335" i="25"/>
  <c r="O334" i="25"/>
  <c r="O333" i="25"/>
  <c r="O332" i="25"/>
  <c r="O331" i="25"/>
  <c r="O330" i="25"/>
  <c r="O329" i="25"/>
  <c r="O328" i="25"/>
  <c r="O327" i="25"/>
  <c r="O326" i="25"/>
  <c r="O325" i="25"/>
  <c r="O324" i="25"/>
  <c r="O323" i="25"/>
  <c r="O322" i="25"/>
  <c r="O321" i="25"/>
  <c r="O320" i="25"/>
  <c r="O319" i="25"/>
  <c r="O318" i="25"/>
  <c r="O317" i="25"/>
  <c r="O316" i="25"/>
  <c r="O315" i="25"/>
  <c r="O314" i="25"/>
  <c r="O313" i="25"/>
  <c r="O312" i="25"/>
  <c r="O311" i="25"/>
  <c r="O310" i="25"/>
  <c r="O309" i="25"/>
  <c r="O308" i="25"/>
  <c r="O307" i="25"/>
  <c r="O306" i="25"/>
  <c r="O305" i="25"/>
  <c r="O304" i="25"/>
  <c r="O303" i="25"/>
  <c r="O302" i="25"/>
  <c r="O301" i="25"/>
  <c r="O300" i="25"/>
  <c r="O299" i="25"/>
  <c r="O298" i="25"/>
  <c r="O297" i="25"/>
  <c r="O296" i="25"/>
  <c r="O295" i="25"/>
  <c r="O294" i="25"/>
  <c r="O293" i="25"/>
  <c r="O292" i="25"/>
  <c r="O291" i="25"/>
  <c r="O290" i="25"/>
  <c r="O289" i="25"/>
  <c r="O288" i="25"/>
  <c r="O287" i="25"/>
  <c r="O286" i="25"/>
  <c r="O285" i="25"/>
  <c r="O284" i="25"/>
  <c r="O283" i="25"/>
  <c r="O282" i="25"/>
  <c r="O281" i="25"/>
  <c r="O280" i="25"/>
  <c r="O279" i="25"/>
  <c r="O278" i="25"/>
  <c r="O277" i="25"/>
  <c r="O276" i="25"/>
  <c r="O275" i="25"/>
  <c r="O274" i="25"/>
  <c r="O273" i="25"/>
  <c r="O272" i="25"/>
  <c r="O271" i="25"/>
  <c r="O270" i="25"/>
  <c r="O269" i="25"/>
  <c r="O268" i="25"/>
  <c r="O267" i="25"/>
  <c r="O266" i="25"/>
  <c r="O265" i="25"/>
  <c r="O264" i="25"/>
  <c r="O263" i="25"/>
  <c r="O262" i="25"/>
  <c r="O261" i="25"/>
  <c r="O260" i="25"/>
  <c r="O259" i="25"/>
  <c r="O258" i="25"/>
  <c r="O257" i="25"/>
  <c r="O256" i="25"/>
  <c r="O255" i="25"/>
  <c r="O254" i="25"/>
  <c r="O253" i="25"/>
  <c r="O252" i="25"/>
  <c r="O251" i="25"/>
  <c r="O250" i="25"/>
  <c r="O249" i="25"/>
  <c r="O248" i="25"/>
  <c r="O247" i="25"/>
  <c r="O246" i="25"/>
  <c r="O245" i="25"/>
  <c r="O244" i="25"/>
  <c r="O243" i="25"/>
  <c r="O242" i="25"/>
  <c r="O241" i="25"/>
  <c r="O240" i="25"/>
  <c r="O239" i="25"/>
  <c r="O238" i="25"/>
  <c r="O237" i="25"/>
  <c r="O236" i="25"/>
  <c r="O235" i="25"/>
  <c r="O234" i="25"/>
  <c r="O233" i="25"/>
  <c r="O232" i="25"/>
  <c r="O231" i="25"/>
  <c r="O230" i="25"/>
  <c r="O229" i="25"/>
  <c r="O228" i="25"/>
  <c r="O227" i="25"/>
  <c r="O226" i="25"/>
  <c r="O225" i="25"/>
  <c r="O224" i="25"/>
  <c r="O223" i="25"/>
  <c r="O222" i="25"/>
  <c r="O221" i="25"/>
  <c r="O220" i="25"/>
  <c r="O219" i="25"/>
  <c r="O218" i="25"/>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O145" i="25"/>
  <c r="O144" i="25"/>
  <c r="O143" i="25"/>
  <c r="O142" i="25"/>
  <c r="O141" i="25"/>
  <c r="O140" i="25"/>
  <c r="O139" i="25"/>
  <c r="O138" i="25"/>
  <c r="O137" i="25"/>
  <c r="O136" i="25"/>
  <c r="O135" i="25"/>
  <c r="O134" i="25"/>
  <c r="O133" i="25"/>
  <c r="O132" i="25"/>
  <c r="O131" i="25"/>
  <c r="O130" i="25"/>
  <c r="O129" i="25"/>
  <c r="O128" i="25"/>
  <c r="O127" i="25"/>
  <c r="O126" i="25"/>
  <c r="O125" i="25"/>
  <c r="O124" i="25"/>
  <c r="O123" i="25"/>
  <c r="O122" i="25"/>
  <c r="O121" i="25"/>
  <c r="O120" i="25"/>
  <c r="O119" i="25"/>
  <c r="O118" i="25"/>
  <c r="O117" i="25"/>
  <c r="O116" i="25"/>
  <c r="O115" i="25"/>
  <c r="O114" i="25"/>
  <c r="O113" i="25"/>
  <c r="O112" i="25"/>
  <c r="O111" i="25"/>
  <c r="O110" i="25"/>
  <c r="O109" i="25"/>
  <c r="O108" i="25"/>
  <c r="O107" i="25"/>
  <c r="O106" i="25"/>
  <c r="O105" i="25"/>
  <c r="O104" i="25"/>
  <c r="O103" i="25"/>
  <c r="O102" i="25"/>
  <c r="O101" i="25"/>
  <c r="O100" i="25"/>
  <c r="O99" i="25"/>
  <c r="O98" i="25"/>
  <c r="O97" i="25"/>
  <c r="O96" i="25"/>
  <c r="O95" i="25"/>
  <c r="O94" i="25"/>
  <c r="O93" i="25"/>
  <c r="O92" i="25"/>
  <c r="O91" i="25"/>
  <c r="O90" i="25"/>
  <c r="O89" i="25"/>
  <c r="O88" i="25"/>
  <c r="O87" i="25"/>
  <c r="O86" i="25"/>
  <c r="O85" i="25"/>
  <c r="O84" i="25"/>
  <c r="O83" i="25"/>
  <c r="O82" i="25"/>
  <c r="O81" i="25"/>
  <c r="O80" i="25"/>
  <c r="O79" i="25"/>
  <c r="O78" i="25"/>
  <c r="O77" i="25"/>
  <c r="O76" i="25"/>
  <c r="O75" i="25"/>
  <c r="O74" i="25"/>
  <c r="O73" i="25"/>
  <c r="O72" i="25"/>
  <c r="O71" i="25"/>
  <c r="O70" i="25"/>
  <c r="O69" i="25"/>
  <c r="O68" i="25"/>
  <c r="O67" i="25"/>
  <c r="O66" i="25"/>
  <c r="O65" i="25"/>
  <c r="O64" i="25"/>
  <c r="O63" i="25"/>
  <c r="O62" i="25"/>
  <c r="O61" i="25"/>
  <c r="O60" i="25"/>
  <c r="O59" i="25"/>
  <c r="O58" i="25"/>
  <c r="O57" i="25"/>
  <c r="O56" i="25"/>
  <c r="O55" i="25"/>
  <c r="O54" i="25"/>
  <c r="O53" i="25"/>
  <c r="O52" i="25"/>
  <c r="O51" i="25"/>
  <c r="O50" i="25"/>
  <c r="O49" i="25"/>
  <c r="O48" i="25"/>
  <c r="O47" i="25"/>
  <c r="O46" i="25"/>
  <c r="O45" i="25"/>
  <c r="O44" i="25"/>
  <c r="O43" i="25"/>
  <c r="O42" i="25"/>
  <c r="O41" i="25"/>
  <c r="O40" i="25"/>
  <c r="O39" i="25"/>
  <c r="O38" i="25"/>
  <c r="O37" i="25"/>
  <c r="O36" i="25"/>
  <c r="O35" i="25"/>
  <c r="O34" i="25"/>
  <c r="O33" i="25"/>
  <c r="O32" i="25"/>
  <c r="O31" i="25"/>
  <c r="O30" i="25"/>
  <c r="O29" i="25"/>
  <c r="O28" i="25"/>
  <c r="O27" i="25"/>
  <c r="O26" i="25"/>
  <c r="O25" i="25"/>
  <c r="O24" i="25"/>
  <c r="O23" i="25"/>
  <c r="O22" i="25"/>
  <c r="O21" i="25"/>
  <c r="O20" i="25"/>
  <c r="O19" i="25"/>
  <c r="O18" i="25"/>
  <c r="O17" i="25"/>
  <c r="O16" i="25"/>
  <c r="O15" i="25"/>
  <c r="O14" i="25"/>
  <c r="O13" i="25"/>
  <c r="O12" i="25"/>
  <c r="O11" i="25"/>
  <c r="O10" i="25"/>
  <c r="O9" i="25"/>
  <c r="O8" i="25"/>
  <c r="O7" i="25"/>
  <c r="O6" i="25"/>
  <c r="O5" i="25"/>
  <c r="O4" i="25"/>
  <c r="C41" i="24"/>
  <c r="D41" i="24" s="1"/>
  <c r="C40" i="24"/>
  <c r="D40" i="24" s="1"/>
  <c r="C39" i="24"/>
  <c r="D39" i="24" s="1"/>
  <c r="F38" i="24"/>
  <c r="D38" i="24"/>
  <c r="E38" i="24" s="1"/>
  <c r="I18" i="24"/>
  <c r="H18" i="24"/>
  <c r="G18" i="24"/>
  <c r="F18" i="24"/>
  <c r="E18" i="24"/>
  <c r="D18" i="24"/>
  <c r="L199" i="22"/>
  <c r="K199" i="22"/>
  <c r="G199" i="22"/>
  <c r="F199" i="22"/>
  <c r="L198" i="22"/>
  <c r="K198" i="22"/>
  <c r="G198" i="22"/>
  <c r="F198" i="22"/>
  <c r="L197" i="22"/>
  <c r="K197" i="22"/>
  <c r="G197" i="22"/>
  <c r="F197" i="22"/>
  <c r="L196" i="22"/>
  <c r="K196" i="22"/>
  <c r="G196" i="22"/>
  <c r="F196" i="22"/>
  <c r="L195" i="22"/>
  <c r="K195" i="22"/>
  <c r="G195" i="22"/>
  <c r="F195" i="22"/>
  <c r="L194" i="22"/>
  <c r="K194" i="22"/>
  <c r="G194" i="22"/>
  <c r="F194" i="22"/>
  <c r="L193" i="22"/>
  <c r="K193" i="22"/>
  <c r="G193" i="22"/>
  <c r="F193" i="22"/>
  <c r="L192" i="22"/>
  <c r="K192" i="22"/>
  <c r="G192" i="22"/>
  <c r="F192" i="22"/>
  <c r="L191" i="22"/>
  <c r="K191" i="22"/>
  <c r="G191" i="22"/>
  <c r="F191" i="22"/>
  <c r="L190" i="22"/>
  <c r="K190" i="22"/>
  <c r="G190" i="22"/>
  <c r="F190" i="22"/>
  <c r="L189" i="22"/>
  <c r="K189" i="22"/>
  <c r="G189" i="22"/>
  <c r="F189" i="22"/>
  <c r="L188" i="22"/>
  <c r="K188" i="22"/>
  <c r="G188" i="22"/>
  <c r="F188" i="22"/>
  <c r="L187" i="22"/>
  <c r="K187" i="22"/>
  <c r="G187" i="22"/>
  <c r="F187" i="22"/>
  <c r="L186" i="22"/>
  <c r="K186" i="22"/>
  <c r="G186" i="22"/>
  <c r="F186" i="22"/>
  <c r="L185" i="22"/>
  <c r="K185" i="22"/>
  <c r="G185" i="22"/>
  <c r="F185" i="22"/>
  <c r="L184" i="22"/>
  <c r="K184" i="22"/>
  <c r="G184" i="22"/>
  <c r="F184" i="22"/>
  <c r="L183" i="22"/>
  <c r="K183" i="22"/>
  <c r="G183" i="22"/>
  <c r="F183" i="22"/>
  <c r="L182" i="22"/>
  <c r="K182" i="22"/>
  <c r="G182" i="22"/>
  <c r="F182" i="22"/>
  <c r="L181" i="22"/>
  <c r="K181" i="22"/>
  <c r="G181" i="22"/>
  <c r="F181" i="22"/>
  <c r="L180" i="22"/>
  <c r="K180" i="22"/>
  <c r="G180" i="22"/>
  <c r="F180" i="22"/>
  <c r="L179" i="22"/>
  <c r="K179" i="22"/>
  <c r="G179" i="22"/>
  <c r="F179" i="22"/>
  <c r="L178" i="22"/>
  <c r="K178" i="22"/>
  <c r="G178" i="22"/>
  <c r="F178" i="22"/>
  <c r="L177" i="22"/>
  <c r="K177" i="22"/>
  <c r="G177" i="22"/>
  <c r="F177" i="22"/>
  <c r="L176" i="22"/>
  <c r="K176" i="22"/>
  <c r="G176" i="22"/>
  <c r="F176" i="22"/>
  <c r="L175" i="22"/>
  <c r="K175" i="22"/>
  <c r="G175" i="22"/>
  <c r="F175" i="22"/>
  <c r="L174" i="22"/>
  <c r="K174" i="22"/>
  <c r="G174" i="22"/>
  <c r="F174" i="22"/>
  <c r="L173" i="22"/>
  <c r="K173" i="22"/>
  <c r="G173" i="22"/>
  <c r="F173" i="22"/>
  <c r="L172" i="22"/>
  <c r="K172" i="22"/>
  <c r="G172" i="22"/>
  <c r="F172" i="22"/>
  <c r="L171" i="22"/>
  <c r="K171" i="22"/>
  <c r="G171" i="22"/>
  <c r="F171" i="22"/>
  <c r="L170" i="22"/>
  <c r="K170" i="22"/>
  <c r="G170" i="22"/>
  <c r="F170" i="22"/>
  <c r="L169" i="22"/>
  <c r="K169" i="22"/>
  <c r="G169" i="22"/>
  <c r="F169" i="22"/>
  <c r="L168" i="22"/>
  <c r="K168" i="22"/>
  <c r="G168" i="22"/>
  <c r="F168" i="22"/>
  <c r="L167" i="22"/>
  <c r="K167" i="22"/>
  <c r="G167" i="22"/>
  <c r="F167" i="22"/>
  <c r="L166" i="22"/>
  <c r="K166" i="22"/>
  <c r="G166" i="22"/>
  <c r="F166" i="22"/>
  <c r="L165" i="22"/>
  <c r="K165" i="22"/>
  <c r="G165" i="22"/>
  <c r="F165" i="22"/>
  <c r="L164" i="22"/>
  <c r="K164" i="22"/>
  <c r="G164" i="22"/>
  <c r="F164" i="22"/>
  <c r="L163" i="22"/>
  <c r="K163" i="22"/>
  <c r="G163" i="22"/>
  <c r="F163" i="22"/>
  <c r="L162" i="22"/>
  <c r="K162" i="22"/>
  <c r="G162" i="22"/>
  <c r="F162" i="22"/>
  <c r="L161" i="22"/>
  <c r="K161" i="22"/>
  <c r="G161" i="22"/>
  <c r="F161" i="22"/>
  <c r="L160" i="22"/>
  <c r="K160" i="22"/>
  <c r="G160" i="22"/>
  <c r="F160" i="22"/>
  <c r="L159" i="22"/>
  <c r="K159" i="22"/>
  <c r="G159" i="22"/>
  <c r="F159" i="22"/>
  <c r="L158" i="22"/>
  <c r="K158" i="22"/>
  <c r="G158" i="22"/>
  <c r="F158" i="22"/>
  <c r="L157" i="22"/>
  <c r="K157" i="22"/>
  <c r="G157" i="22"/>
  <c r="F157" i="22"/>
  <c r="L156" i="22"/>
  <c r="K156" i="22"/>
  <c r="G156" i="22"/>
  <c r="F156" i="22"/>
  <c r="L155" i="22"/>
  <c r="K155" i="22"/>
  <c r="G155" i="22"/>
  <c r="F155" i="22"/>
  <c r="L154" i="22"/>
  <c r="K154" i="22"/>
  <c r="G154" i="22"/>
  <c r="F154" i="22"/>
  <c r="L153" i="22"/>
  <c r="K153" i="22"/>
  <c r="G153" i="22"/>
  <c r="F153" i="22"/>
  <c r="L152" i="22"/>
  <c r="K152" i="22"/>
  <c r="G152" i="22"/>
  <c r="F152" i="22"/>
  <c r="L151" i="22"/>
  <c r="K151" i="22"/>
  <c r="G151" i="22"/>
  <c r="F151" i="22"/>
  <c r="L150" i="22"/>
  <c r="K150" i="22"/>
  <c r="G150" i="22"/>
  <c r="F150" i="22"/>
  <c r="L149" i="22"/>
  <c r="K149" i="22"/>
  <c r="G149" i="22"/>
  <c r="F149" i="22"/>
  <c r="L148" i="22"/>
  <c r="K148" i="22"/>
  <c r="G148" i="22"/>
  <c r="F148" i="22"/>
  <c r="L147" i="22"/>
  <c r="K147" i="22"/>
  <c r="G147" i="22"/>
  <c r="F147" i="22"/>
  <c r="L146" i="22"/>
  <c r="K146" i="22"/>
  <c r="G146" i="22"/>
  <c r="F146" i="22"/>
  <c r="L145" i="22"/>
  <c r="K145" i="22"/>
  <c r="G145" i="22"/>
  <c r="F145" i="22"/>
  <c r="L144" i="22"/>
  <c r="K144" i="22"/>
  <c r="G144" i="22"/>
  <c r="F144" i="22"/>
  <c r="L143" i="22"/>
  <c r="K143" i="22"/>
  <c r="G143" i="22"/>
  <c r="F143" i="22"/>
  <c r="L142" i="22"/>
  <c r="K142" i="22"/>
  <c r="G142" i="22"/>
  <c r="F142" i="22"/>
  <c r="L141" i="22"/>
  <c r="K141" i="22"/>
  <c r="G141" i="22"/>
  <c r="F141" i="22"/>
  <c r="L140" i="22"/>
  <c r="K140" i="22"/>
  <c r="G140" i="22"/>
  <c r="F140" i="22"/>
  <c r="L139" i="22"/>
  <c r="K139" i="22"/>
  <c r="G139" i="22"/>
  <c r="F139" i="22"/>
  <c r="L138" i="22"/>
  <c r="K138" i="22"/>
  <c r="G138" i="22"/>
  <c r="F138" i="22"/>
  <c r="L137" i="22"/>
  <c r="K137" i="22"/>
  <c r="G137" i="22"/>
  <c r="F137" i="22"/>
  <c r="L136" i="22"/>
  <c r="K136" i="22"/>
  <c r="G136" i="22"/>
  <c r="F136" i="22"/>
  <c r="L135" i="22"/>
  <c r="K135" i="22"/>
  <c r="G135" i="22"/>
  <c r="F135" i="22"/>
  <c r="L134" i="22"/>
  <c r="K134" i="22"/>
  <c r="G134" i="22"/>
  <c r="F134" i="22"/>
  <c r="L133" i="22"/>
  <c r="K133" i="22"/>
  <c r="G133" i="22"/>
  <c r="F133" i="22"/>
  <c r="L132" i="22"/>
  <c r="K132" i="22"/>
  <c r="G132" i="22"/>
  <c r="F132" i="22"/>
  <c r="L131" i="22"/>
  <c r="K131" i="22"/>
  <c r="G131" i="22"/>
  <c r="F131" i="22"/>
  <c r="L130" i="22"/>
  <c r="K130" i="22"/>
  <c r="G130" i="22"/>
  <c r="F130" i="22"/>
  <c r="L129" i="22"/>
  <c r="K129" i="22"/>
  <c r="G129" i="22"/>
  <c r="F129" i="22"/>
  <c r="L128" i="22"/>
  <c r="K128" i="22"/>
  <c r="G128" i="22"/>
  <c r="F128" i="22"/>
  <c r="L127" i="22"/>
  <c r="K127" i="22"/>
  <c r="G127" i="22"/>
  <c r="F127" i="22"/>
  <c r="L126" i="22"/>
  <c r="K126" i="22"/>
  <c r="G126" i="22"/>
  <c r="F126" i="22"/>
  <c r="L125" i="22"/>
  <c r="K125" i="22"/>
  <c r="G125" i="22"/>
  <c r="F125" i="22"/>
  <c r="L124" i="22"/>
  <c r="K124" i="22"/>
  <c r="G124" i="22"/>
  <c r="F124" i="22"/>
  <c r="L123" i="22"/>
  <c r="K123" i="22"/>
  <c r="G123" i="22"/>
  <c r="F123" i="22"/>
  <c r="L122" i="22"/>
  <c r="K122" i="22"/>
  <c r="G122" i="22"/>
  <c r="F122" i="22"/>
  <c r="L121" i="22"/>
  <c r="K121" i="22"/>
  <c r="G121" i="22"/>
  <c r="F121" i="22"/>
  <c r="L120" i="22"/>
  <c r="K120" i="22"/>
  <c r="G120" i="22"/>
  <c r="F120" i="22"/>
  <c r="L119" i="22"/>
  <c r="K119" i="22"/>
  <c r="G119" i="22"/>
  <c r="F119" i="22"/>
  <c r="L118" i="22"/>
  <c r="K118" i="22"/>
  <c r="G118" i="22"/>
  <c r="F118" i="22"/>
  <c r="L117" i="22"/>
  <c r="K117" i="22"/>
  <c r="G117" i="22"/>
  <c r="F117" i="22"/>
  <c r="L116" i="22"/>
  <c r="K116" i="22"/>
  <c r="G116" i="22"/>
  <c r="F116" i="22"/>
  <c r="L115" i="22"/>
  <c r="K115" i="22"/>
  <c r="G115" i="22"/>
  <c r="F115" i="22"/>
  <c r="L114" i="22"/>
  <c r="K114" i="22"/>
  <c r="G114" i="22"/>
  <c r="F114" i="22"/>
  <c r="L113" i="22"/>
  <c r="K113" i="22"/>
  <c r="G113" i="22"/>
  <c r="F113" i="22"/>
  <c r="L112" i="22"/>
  <c r="K112" i="22"/>
  <c r="G112" i="22"/>
  <c r="F112" i="22"/>
  <c r="L111" i="22"/>
  <c r="K111" i="22"/>
  <c r="G111" i="22"/>
  <c r="F111" i="22"/>
  <c r="L110" i="22"/>
  <c r="K110" i="22"/>
  <c r="G110" i="22"/>
  <c r="F110" i="22"/>
  <c r="L109" i="22"/>
  <c r="K109" i="22"/>
  <c r="G109" i="22"/>
  <c r="F109" i="22"/>
  <c r="L108" i="22"/>
  <c r="K108" i="22"/>
  <c r="G108" i="22"/>
  <c r="F108" i="22"/>
  <c r="L107" i="22"/>
  <c r="K107" i="22"/>
  <c r="G107" i="22"/>
  <c r="F107" i="22"/>
  <c r="L106" i="22"/>
  <c r="K106" i="22"/>
  <c r="G106" i="22"/>
  <c r="F106" i="22"/>
  <c r="L105" i="22"/>
  <c r="K105" i="22"/>
  <c r="G105" i="22"/>
  <c r="F105" i="22"/>
  <c r="L104" i="22"/>
  <c r="K104" i="22"/>
  <c r="G104" i="22"/>
  <c r="F104" i="22"/>
  <c r="L103" i="22"/>
  <c r="K103" i="22"/>
  <c r="G103" i="22"/>
  <c r="F103" i="22"/>
  <c r="L102" i="22"/>
  <c r="K102" i="22"/>
  <c r="G102" i="22"/>
  <c r="F102" i="22"/>
  <c r="L101" i="22"/>
  <c r="K101" i="22"/>
  <c r="G101" i="22"/>
  <c r="F101" i="22"/>
  <c r="L100" i="22"/>
  <c r="K100" i="22"/>
  <c r="G100" i="22"/>
  <c r="F100" i="22"/>
  <c r="L99" i="22"/>
  <c r="K99" i="22"/>
  <c r="G99" i="22"/>
  <c r="F99" i="22"/>
  <c r="L98" i="22"/>
  <c r="K98" i="22"/>
  <c r="G98" i="22"/>
  <c r="F98" i="22"/>
  <c r="L97" i="22"/>
  <c r="K97" i="22"/>
  <c r="G97" i="22"/>
  <c r="F97" i="22"/>
  <c r="L96" i="22"/>
  <c r="K96" i="22"/>
  <c r="G96" i="22"/>
  <c r="F96" i="22"/>
  <c r="L95" i="22"/>
  <c r="K95" i="22"/>
  <c r="G95" i="22"/>
  <c r="F95" i="22"/>
  <c r="L94" i="22"/>
  <c r="K94" i="22"/>
  <c r="G94" i="22"/>
  <c r="F94" i="22"/>
  <c r="L93" i="22"/>
  <c r="K93" i="22"/>
  <c r="G93" i="22"/>
  <c r="F93" i="22"/>
  <c r="L92" i="22"/>
  <c r="K92" i="22"/>
  <c r="G92" i="22"/>
  <c r="F92" i="22"/>
  <c r="L91" i="22"/>
  <c r="K91" i="22"/>
  <c r="G91" i="22"/>
  <c r="F91" i="22"/>
  <c r="L90" i="22"/>
  <c r="K90" i="22"/>
  <c r="G90" i="22"/>
  <c r="F90" i="22"/>
  <c r="L89" i="22"/>
  <c r="K89" i="22"/>
  <c r="G89" i="22"/>
  <c r="F89" i="22"/>
  <c r="L88" i="22"/>
  <c r="K88" i="22"/>
  <c r="G88" i="22"/>
  <c r="F88" i="22"/>
  <c r="L87" i="22"/>
  <c r="K87" i="22"/>
  <c r="G87" i="22"/>
  <c r="F87" i="22"/>
  <c r="L86" i="22"/>
  <c r="K86" i="22"/>
  <c r="G86" i="22"/>
  <c r="F86" i="22"/>
  <c r="L85" i="22"/>
  <c r="K85" i="22"/>
  <c r="G85" i="22"/>
  <c r="F85" i="22"/>
  <c r="L84" i="22"/>
  <c r="K84" i="22"/>
  <c r="G84" i="22"/>
  <c r="F84" i="22"/>
  <c r="L83" i="22"/>
  <c r="K83" i="22"/>
  <c r="G83" i="22"/>
  <c r="F83" i="22"/>
  <c r="L82" i="22"/>
  <c r="K82" i="22"/>
  <c r="G82" i="22"/>
  <c r="F82" i="22"/>
  <c r="L81" i="22"/>
  <c r="K81" i="22"/>
  <c r="G81" i="22"/>
  <c r="F81" i="22"/>
  <c r="L80" i="22"/>
  <c r="K80" i="22"/>
  <c r="G80" i="22"/>
  <c r="F80" i="22"/>
  <c r="L79" i="22"/>
  <c r="K79" i="22"/>
  <c r="G79" i="22"/>
  <c r="F79" i="22"/>
  <c r="L78" i="22"/>
  <c r="K78" i="22"/>
  <c r="G78" i="22"/>
  <c r="F78" i="22"/>
  <c r="L77" i="22"/>
  <c r="K77" i="22"/>
  <c r="G77" i="22"/>
  <c r="F77" i="22"/>
  <c r="L76" i="22"/>
  <c r="K76" i="22"/>
  <c r="G76" i="22"/>
  <c r="F76" i="22"/>
  <c r="L75" i="22"/>
  <c r="K75" i="22"/>
  <c r="G75" i="22"/>
  <c r="F75" i="22"/>
  <c r="L74" i="22"/>
  <c r="K74" i="22"/>
  <c r="G74" i="22"/>
  <c r="F74" i="22"/>
  <c r="L73" i="22"/>
  <c r="K73" i="22"/>
  <c r="G73" i="22"/>
  <c r="F73" i="22"/>
  <c r="L72" i="22"/>
  <c r="K72" i="22"/>
  <c r="G72" i="22"/>
  <c r="F72" i="22"/>
  <c r="L71" i="22"/>
  <c r="K71" i="22"/>
  <c r="G71" i="22"/>
  <c r="F71" i="22"/>
  <c r="L70" i="22"/>
  <c r="K70" i="22"/>
  <c r="G70" i="22"/>
  <c r="F70" i="22"/>
  <c r="L69" i="22"/>
  <c r="K69" i="22"/>
  <c r="G69" i="22"/>
  <c r="F69" i="22"/>
  <c r="L68" i="22"/>
  <c r="K68" i="22"/>
  <c r="G68" i="22"/>
  <c r="F68" i="22"/>
  <c r="L67" i="22"/>
  <c r="K67" i="22"/>
  <c r="G67" i="22"/>
  <c r="F67" i="22"/>
  <c r="L66" i="22"/>
  <c r="K66" i="22"/>
  <c r="G66" i="22"/>
  <c r="F66" i="22"/>
  <c r="L65" i="22"/>
  <c r="K65" i="22"/>
  <c r="G65" i="22"/>
  <c r="F65" i="22"/>
  <c r="L64" i="22"/>
  <c r="K64" i="22"/>
  <c r="G64" i="22"/>
  <c r="F64" i="22"/>
  <c r="L63" i="22"/>
  <c r="K63" i="22"/>
  <c r="G63" i="22"/>
  <c r="F63" i="22"/>
  <c r="L62" i="22"/>
  <c r="K62" i="22"/>
  <c r="G62" i="22"/>
  <c r="F62" i="22"/>
  <c r="L61" i="22"/>
  <c r="K61" i="22"/>
  <c r="G61" i="22"/>
  <c r="F61" i="22"/>
  <c r="L60" i="22"/>
  <c r="K60" i="22"/>
  <c r="G60" i="22"/>
  <c r="F60" i="22"/>
  <c r="L59" i="22"/>
  <c r="K59" i="22"/>
  <c r="G59" i="22"/>
  <c r="F59" i="22"/>
  <c r="L58" i="22"/>
  <c r="K58" i="22"/>
  <c r="G58" i="22"/>
  <c r="F58" i="22"/>
  <c r="L57" i="22"/>
  <c r="K57" i="22"/>
  <c r="G57" i="22"/>
  <c r="F57" i="22"/>
  <c r="L56" i="22"/>
  <c r="K56" i="22"/>
  <c r="G56" i="22"/>
  <c r="F56" i="22"/>
  <c r="L55" i="22"/>
  <c r="K55" i="22"/>
  <c r="G55" i="22"/>
  <c r="F55" i="22"/>
  <c r="L54" i="22"/>
  <c r="K54" i="22"/>
  <c r="G54" i="22"/>
  <c r="F54" i="22"/>
  <c r="L53" i="22"/>
  <c r="K53" i="22"/>
  <c r="G53" i="22"/>
  <c r="F53" i="22"/>
  <c r="L52" i="22"/>
  <c r="K52" i="22"/>
  <c r="G52" i="22"/>
  <c r="F52" i="22"/>
  <c r="L51" i="22"/>
  <c r="K51" i="22"/>
  <c r="G51" i="22"/>
  <c r="F51" i="22"/>
  <c r="L50" i="22"/>
  <c r="K50" i="22"/>
  <c r="G50" i="22"/>
  <c r="F50" i="22"/>
  <c r="L49" i="22"/>
  <c r="K49" i="22"/>
  <c r="G49" i="22"/>
  <c r="F49" i="22"/>
  <c r="L48" i="22"/>
  <c r="K48" i="22"/>
  <c r="G48" i="22"/>
  <c r="F48" i="22"/>
  <c r="L47" i="22"/>
  <c r="K47" i="22"/>
  <c r="G47" i="22"/>
  <c r="F47" i="22"/>
  <c r="L46" i="22"/>
  <c r="K46" i="22"/>
  <c r="G46" i="22"/>
  <c r="F46" i="22"/>
  <c r="L45" i="22"/>
  <c r="K45" i="22"/>
  <c r="G45" i="22"/>
  <c r="F45" i="22"/>
  <c r="L44" i="22"/>
  <c r="K44" i="22"/>
  <c r="G44" i="22"/>
  <c r="F44" i="22"/>
  <c r="L43" i="22"/>
  <c r="K43" i="22"/>
  <c r="G43" i="22"/>
  <c r="F43" i="22"/>
  <c r="L42" i="22"/>
  <c r="K42" i="22"/>
  <c r="G42" i="22"/>
  <c r="F42" i="22"/>
  <c r="L41" i="22"/>
  <c r="K41" i="22"/>
  <c r="G41" i="22"/>
  <c r="F41" i="22"/>
  <c r="L40" i="22"/>
  <c r="K40" i="22"/>
  <c r="G40" i="22"/>
  <c r="F40" i="22"/>
  <c r="L39" i="22"/>
  <c r="K39" i="22"/>
  <c r="G39" i="22"/>
  <c r="F39" i="22"/>
  <c r="L38" i="22"/>
  <c r="K38" i="22"/>
  <c r="G38" i="22"/>
  <c r="F38" i="22"/>
  <c r="L37" i="22"/>
  <c r="K37" i="22"/>
  <c r="G37" i="22"/>
  <c r="F37" i="22"/>
  <c r="L36" i="22"/>
  <c r="K36" i="22"/>
  <c r="G36" i="22"/>
  <c r="F36" i="22"/>
  <c r="L35" i="22"/>
  <c r="K35" i="22"/>
  <c r="G35" i="22"/>
  <c r="F35" i="22"/>
  <c r="L34" i="22"/>
  <c r="K34" i="22"/>
  <c r="G34" i="22"/>
  <c r="F34" i="22"/>
  <c r="L33" i="22"/>
  <c r="K33" i="22"/>
  <c r="G33" i="22"/>
  <c r="F33" i="22"/>
  <c r="L32" i="22"/>
  <c r="K32" i="22"/>
  <c r="G32" i="22"/>
  <c r="F32" i="22"/>
  <c r="L31" i="22"/>
  <c r="K31" i="22"/>
  <c r="G31" i="22"/>
  <c r="F31" i="22"/>
  <c r="L30" i="22"/>
  <c r="K30" i="22"/>
  <c r="G30" i="22"/>
  <c r="F30" i="22"/>
  <c r="L29" i="22"/>
  <c r="K29" i="22"/>
  <c r="G29" i="22"/>
  <c r="F29" i="22"/>
  <c r="L28" i="22"/>
  <c r="K28" i="22"/>
  <c r="G28" i="22"/>
  <c r="F28" i="22"/>
  <c r="L27" i="22"/>
  <c r="K27" i="22"/>
  <c r="G27" i="22"/>
  <c r="F27" i="22"/>
  <c r="L26" i="22"/>
  <c r="K26" i="22"/>
  <c r="G26" i="22"/>
  <c r="F26" i="22"/>
  <c r="L25" i="22"/>
  <c r="K25" i="22"/>
  <c r="G25" i="22"/>
  <c r="F25" i="22"/>
  <c r="L24" i="22"/>
  <c r="K24" i="22"/>
  <c r="G24" i="22"/>
  <c r="F24" i="22"/>
  <c r="L23" i="22"/>
  <c r="K23" i="22"/>
  <c r="G23" i="22"/>
  <c r="F23" i="22"/>
  <c r="L22" i="22"/>
  <c r="K22" i="22"/>
  <c r="G22" i="22"/>
  <c r="F22" i="22"/>
  <c r="L21" i="22"/>
  <c r="K21" i="22"/>
  <c r="G21" i="22"/>
  <c r="F21" i="22"/>
  <c r="L20" i="22"/>
  <c r="K20" i="22"/>
  <c r="G20" i="22"/>
  <c r="F20" i="22"/>
  <c r="L19" i="22"/>
  <c r="K19" i="22"/>
  <c r="G19" i="22"/>
  <c r="F19" i="22"/>
  <c r="L18" i="22"/>
  <c r="K18" i="22"/>
  <c r="G18" i="22"/>
  <c r="F18" i="22"/>
  <c r="L17" i="22"/>
  <c r="K17" i="22"/>
  <c r="G17" i="22"/>
  <c r="F17" i="22"/>
  <c r="L16" i="22"/>
  <c r="K16" i="22"/>
  <c r="G16" i="22"/>
  <c r="F16" i="22"/>
  <c r="L15" i="22"/>
  <c r="K15" i="22"/>
  <c r="G15" i="22"/>
  <c r="F15" i="22"/>
  <c r="L14" i="22"/>
  <c r="K14" i="22"/>
  <c r="G14" i="22"/>
  <c r="F14" i="22"/>
  <c r="L13" i="22"/>
  <c r="K13" i="22"/>
  <c r="G13" i="22"/>
  <c r="F13" i="22"/>
  <c r="L12" i="22"/>
  <c r="K12" i="22"/>
  <c r="G12" i="22"/>
  <c r="F12" i="22"/>
  <c r="L11" i="22"/>
  <c r="K11" i="22"/>
  <c r="G11" i="22"/>
  <c r="F11" i="22"/>
  <c r="L10" i="22"/>
  <c r="K10" i="22"/>
  <c r="G10" i="22"/>
  <c r="F10" i="22"/>
  <c r="L9" i="22"/>
  <c r="K9" i="22"/>
  <c r="G9" i="22"/>
  <c r="F9" i="22"/>
  <c r="L8" i="22"/>
  <c r="K8" i="22"/>
  <c r="G8" i="22"/>
  <c r="F8" i="22"/>
  <c r="L7" i="22"/>
  <c r="K7" i="22"/>
  <c r="G7" i="22"/>
  <c r="F7" i="22"/>
  <c r="L6" i="22"/>
  <c r="K6" i="22"/>
  <c r="G6" i="22"/>
  <c r="F6" i="22"/>
  <c r="J45" i="21"/>
  <c r="K42" i="21" s="1"/>
  <c r="I45" i="21"/>
  <c r="H45" i="21"/>
  <c r="G45" i="21"/>
  <c r="K44" i="21"/>
  <c r="F44" i="21"/>
  <c r="K43" i="21"/>
  <c r="F43" i="21"/>
  <c r="F42" i="21"/>
  <c r="K41" i="21"/>
  <c r="F41" i="21"/>
  <c r="K40" i="21"/>
  <c r="F40" i="21"/>
  <c r="K39" i="21"/>
  <c r="F39" i="21"/>
  <c r="K38" i="21"/>
  <c r="F38" i="21"/>
  <c r="K37" i="21"/>
  <c r="F37" i="21"/>
  <c r="F36" i="21"/>
  <c r="K35" i="21"/>
  <c r="F35" i="21"/>
  <c r="K34" i="21"/>
  <c r="F34" i="21"/>
  <c r="K33" i="21"/>
  <c r="F33" i="21"/>
  <c r="K32" i="21"/>
  <c r="F32" i="21"/>
  <c r="K31" i="21"/>
  <c r="F31" i="21"/>
  <c r="F30" i="21"/>
  <c r="K29" i="21"/>
  <c r="F29" i="21"/>
  <c r="K28" i="21"/>
  <c r="F28" i="21"/>
  <c r="K27" i="21"/>
  <c r="F27" i="21"/>
  <c r="K26" i="21"/>
  <c r="F26" i="21"/>
  <c r="K25" i="21"/>
  <c r="F25" i="21"/>
  <c r="F24" i="21"/>
  <c r="K23" i="21"/>
  <c r="F23" i="21"/>
  <c r="K22" i="21"/>
  <c r="F22" i="21"/>
  <c r="K21" i="21"/>
  <c r="F21" i="21"/>
  <c r="K20" i="21"/>
  <c r="F20" i="21"/>
  <c r="K19" i="21"/>
  <c r="F19" i="21"/>
  <c r="K18" i="21"/>
  <c r="F18" i="21"/>
  <c r="K17" i="21"/>
  <c r="F17" i="21"/>
  <c r="K16" i="21"/>
  <c r="F16" i="21"/>
  <c r="K15" i="21"/>
  <c r="F15" i="21"/>
  <c r="K14" i="21"/>
  <c r="F14" i="21"/>
  <c r="K13" i="21"/>
  <c r="F13" i="21"/>
  <c r="K12" i="21"/>
  <c r="F12" i="21"/>
  <c r="K11" i="21"/>
  <c r="F11" i="21"/>
  <c r="K10" i="21"/>
  <c r="F10" i="21"/>
  <c r="K9" i="21"/>
  <c r="F9" i="21"/>
  <c r="K8" i="21"/>
  <c r="F8" i="21"/>
  <c r="K7" i="21"/>
  <c r="F7" i="21"/>
  <c r="K6" i="21"/>
  <c r="F6" i="21"/>
  <c r="K5" i="21"/>
  <c r="F5" i="21"/>
  <c r="D60" i="20"/>
  <c r="D59" i="20"/>
  <c r="D58" i="20"/>
  <c r="D57" i="20"/>
  <c r="G53" i="20"/>
  <c r="E53" i="20"/>
  <c r="D53" i="20"/>
  <c r="F52" i="20"/>
  <c r="F51" i="20"/>
  <c r="F50" i="20"/>
  <c r="F49" i="20"/>
  <c r="F48" i="20"/>
  <c r="F47" i="20"/>
  <c r="F46" i="20"/>
  <c r="F45" i="20"/>
  <c r="F44" i="20"/>
  <c r="F43" i="20"/>
  <c r="F42" i="20"/>
  <c r="F41" i="20"/>
  <c r="F40" i="20"/>
  <c r="F39" i="20"/>
  <c r="F38" i="20"/>
  <c r="F37" i="20"/>
  <c r="F36" i="20"/>
  <c r="F35" i="20"/>
  <c r="F34" i="20"/>
  <c r="F33" i="20"/>
  <c r="F29" i="20"/>
  <c r="D29" i="20"/>
  <c r="D28" i="20"/>
  <c r="H27" i="20"/>
  <c r="F27" i="20"/>
  <c r="E27" i="20"/>
  <c r="D27" i="20"/>
  <c r="G26" i="20"/>
  <c r="G25" i="20"/>
  <c r="G24" i="20"/>
  <c r="G23" i="20"/>
  <c r="G22" i="20"/>
  <c r="G21" i="20"/>
  <c r="G20" i="20"/>
  <c r="G19" i="20"/>
  <c r="G18" i="20"/>
  <c r="G17" i="20"/>
  <c r="G16" i="20"/>
  <c r="G15" i="20"/>
  <c r="G14" i="20"/>
  <c r="G13" i="20"/>
  <c r="G12" i="20"/>
  <c r="G11" i="20"/>
  <c r="G10" i="20"/>
  <c r="G9" i="20"/>
  <c r="G8" i="20"/>
  <c r="G7" i="20"/>
  <c r="L13" i="17"/>
  <c r="E13" i="17"/>
  <c r="K12" i="17"/>
  <c r="G12" i="17"/>
  <c r="K11" i="17"/>
  <c r="G11" i="17"/>
  <c r="K10" i="17"/>
  <c r="G10" i="17"/>
  <c r="K9" i="17"/>
  <c r="G9" i="17"/>
  <c r="K8" i="17"/>
  <c r="G8" i="17"/>
  <c r="G13" i="17" s="1"/>
  <c r="K7" i="17"/>
  <c r="G7" i="17"/>
  <c r="K6" i="17"/>
  <c r="G6" i="17"/>
  <c r="F57" i="16"/>
  <c r="E57" i="16"/>
  <c r="D57" i="16"/>
  <c r="C57" i="16"/>
  <c r="I13" i="16"/>
  <c r="H13" i="16"/>
  <c r="G13" i="16"/>
  <c r="F13" i="16"/>
  <c r="D13" i="16"/>
  <c r="C13" i="16"/>
  <c r="F12" i="16"/>
  <c r="F11" i="16"/>
  <c r="F10" i="16"/>
  <c r="F9" i="16"/>
  <c r="F8" i="16"/>
  <c r="F7" i="16"/>
  <c r="F6" i="16"/>
  <c r="F5" i="16"/>
  <c r="C19" i="15"/>
  <c r="C16" i="15"/>
  <c r="C15" i="15"/>
  <c r="C14" i="15"/>
  <c r="P21" i="14"/>
  <c r="F21" i="14"/>
  <c r="P20" i="14"/>
  <c r="F20" i="14"/>
  <c r="P19" i="14"/>
  <c r="F19" i="14"/>
  <c r="J18" i="14"/>
  <c r="I18" i="14"/>
  <c r="H18" i="14"/>
  <c r="Q18" i="14" s="1"/>
  <c r="Q17" i="14"/>
  <c r="J17" i="14"/>
  <c r="I17" i="14"/>
  <c r="H17" i="14"/>
  <c r="K17" i="14" s="1"/>
  <c r="K16" i="14"/>
  <c r="J16" i="14"/>
  <c r="L16" i="14" s="1"/>
  <c r="M16" i="14" s="1"/>
  <c r="O16" i="14" s="1"/>
  <c r="I16" i="14"/>
  <c r="H16" i="14"/>
  <c r="Q16" i="14" s="1"/>
  <c r="J15" i="14"/>
  <c r="I15" i="14"/>
  <c r="H15" i="14"/>
  <c r="Q15" i="14" s="1"/>
  <c r="Q14" i="14"/>
  <c r="J14" i="14"/>
  <c r="I14" i="14"/>
  <c r="H14" i="14"/>
  <c r="K14" i="14" s="1"/>
  <c r="K13" i="14"/>
  <c r="J13" i="14"/>
  <c r="L13" i="14" s="1"/>
  <c r="M13" i="14" s="1"/>
  <c r="O13" i="14" s="1"/>
  <c r="I13" i="14"/>
  <c r="H13" i="14"/>
  <c r="Q13" i="14" s="1"/>
  <c r="J12" i="14"/>
  <c r="I12" i="14"/>
  <c r="H12" i="14"/>
  <c r="Q12" i="14" s="1"/>
  <c r="Q11" i="14"/>
  <c r="J11" i="14"/>
  <c r="L11" i="14" s="1"/>
  <c r="M11" i="14" s="1"/>
  <c r="O11" i="14" s="1"/>
  <c r="I11" i="14"/>
  <c r="H11" i="14"/>
  <c r="K11" i="14" s="1"/>
  <c r="K10" i="14"/>
  <c r="J10" i="14"/>
  <c r="L10" i="14" s="1"/>
  <c r="M10" i="14" s="1"/>
  <c r="O10" i="14" s="1"/>
  <c r="I10" i="14"/>
  <c r="H10" i="14"/>
  <c r="Q10" i="14" s="1"/>
  <c r="J9" i="14"/>
  <c r="I9" i="14"/>
  <c r="H9" i="14"/>
  <c r="Q9" i="14" s="1"/>
  <c r="Q8" i="14"/>
  <c r="J8" i="14"/>
  <c r="I8" i="14"/>
  <c r="H8" i="14"/>
  <c r="K8" i="14" s="1"/>
  <c r="K7" i="14"/>
  <c r="J7" i="14"/>
  <c r="L7" i="14" s="1"/>
  <c r="M7" i="14" s="1"/>
  <c r="O7" i="14" s="1"/>
  <c r="I7" i="14"/>
  <c r="H7" i="14"/>
  <c r="Q7" i="14" s="1"/>
  <c r="J6" i="14"/>
  <c r="I6" i="14"/>
  <c r="H6" i="14"/>
  <c r="Q6" i="14" s="1"/>
  <c r="H10" i="13"/>
  <c r="H9" i="13"/>
  <c r="H8" i="13"/>
  <c r="H7" i="13"/>
  <c r="H6" i="13"/>
  <c r="H5" i="13"/>
  <c r="D12" i="10"/>
  <c r="D11" i="10"/>
  <c r="H25" i="9"/>
  <c r="F25" i="9"/>
  <c r="H24" i="9"/>
  <c r="F24" i="9"/>
  <c r="H23" i="9"/>
  <c r="F23" i="9"/>
  <c r="H22" i="9"/>
  <c r="F22" i="9"/>
  <c r="H21" i="9"/>
  <c r="F21" i="9"/>
  <c r="H20" i="9"/>
  <c r="F20" i="9"/>
  <c r="H19" i="9"/>
  <c r="F19" i="9"/>
  <c r="H18" i="9"/>
  <c r="F18" i="9"/>
  <c r="H17" i="9"/>
  <c r="F17" i="9"/>
  <c r="H16" i="9"/>
  <c r="F16" i="9"/>
  <c r="H15" i="9"/>
  <c r="F15" i="9"/>
  <c r="H14" i="9"/>
  <c r="F14" i="9"/>
  <c r="H13" i="9"/>
  <c r="F13" i="9"/>
  <c r="H12" i="9"/>
  <c r="F12" i="9"/>
  <c r="H11" i="9"/>
  <c r="F11" i="9"/>
  <c r="H10" i="9"/>
  <c r="F10" i="9"/>
  <c r="H9" i="9"/>
  <c r="F9" i="9"/>
  <c r="H8" i="9"/>
  <c r="F8" i="9"/>
  <c r="H7" i="9"/>
  <c r="F7" i="9"/>
  <c r="H6" i="9"/>
  <c r="F6" i="9"/>
  <c r="H5" i="9"/>
  <c r="F5" i="9"/>
  <c r="F70" i="8"/>
  <c r="E70" i="8"/>
  <c r="F69" i="8"/>
  <c r="E69" i="8"/>
  <c r="F68" i="8"/>
  <c r="E68" i="8"/>
  <c r="F67" i="8"/>
  <c r="E67" i="8"/>
  <c r="F66" i="8"/>
  <c r="E66" i="8"/>
  <c r="F65" i="8"/>
  <c r="E65" i="8"/>
  <c r="F64" i="8"/>
  <c r="E64" i="8"/>
  <c r="F63" i="8"/>
  <c r="E63" i="8"/>
  <c r="F62" i="8"/>
  <c r="E62" i="8"/>
  <c r="F61" i="8"/>
  <c r="E61" i="8"/>
  <c r="F60" i="8"/>
  <c r="E60" i="8"/>
  <c r="F59" i="8"/>
  <c r="E59" i="8"/>
  <c r="F58" i="8"/>
  <c r="E58" i="8"/>
  <c r="F57" i="8"/>
  <c r="E57" i="8"/>
  <c r="F56" i="8"/>
  <c r="E56" i="8"/>
  <c r="F55" i="8"/>
  <c r="E55" i="8"/>
  <c r="F54" i="8"/>
  <c r="E54" i="8"/>
  <c r="F53" i="8"/>
  <c r="E53" i="8"/>
  <c r="F52" i="8"/>
  <c r="E52" i="8"/>
  <c r="F51" i="8"/>
  <c r="E51" i="8"/>
  <c r="F50" i="8"/>
  <c r="E50" i="8"/>
  <c r="F49" i="8"/>
  <c r="E49" i="8"/>
  <c r="F48" i="8"/>
  <c r="E48" i="8"/>
  <c r="F47" i="8"/>
  <c r="E47" i="8"/>
  <c r="F46" i="8"/>
  <c r="E46" i="8"/>
  <c r="F45" i="8"/>
  <c r="E45" i="8"/>
  <c r="F44" i="8"/>
  <c r="E44" i="8"/>
  <c r="F43" i="8"/>
  <c r="E43" i="8"/>
  <c r="F42" i="8"/>
  <c r="E42" i="8"/>
  <c r="F41" i="8"/>
  <c r="E41" i="8"/>
  <c r="F40" i="8"/>
  <c r="E40" i="8"/>
  <c r="F39" i="8"/>
  <c r="E39" i="8"/>
  <c r="F38" i="8"/>
  <c r="E38" i="8"/>
  <c r="F37" i="8"/>
  <c r="E37" i="8"/>
  <c r="F36" i="8"/>
  <c r="E36" i="8"/>
  <c r="F35" i="8"/>
  <c r="E35" i="8"/>
  <c r="F34" i="8"/>
  <c r="E34" i="8"/>
  <c r="F33" i="8"/>
  <c r="E33" i="8"/>
  <c r="F32" i="8"/>
  <c r="E32" i="8"/>
  <c r="F31" i="8"/>
  <c r="E31" i="8"/>
  <c r="G27" i="8"/>
  <c r="F27" i="8"/>
  <c r="E27" i="8"/>
  <c r="D27" i="8"/>
  <c r="I26" i="8"/>
  <c r="H26" i="8"/>
  <c r="I25" i="8"/>
  <c r="H25" i="8"/>
  <c r="I24" i="8"/>
  <c r="H24" i="8"/>
  <c r="I23" i="8"/>
  <c r="H23" i="8"/>
  <c r="I22" i="8"/>
  <c r="H22" i="8"/>
  <c r="I21" i="8"/>
  <c r="H21" i="8"/>
  <c r="I20" i="8"/>
  <c r="H20" i="8"/>
  <c r="I19" i="8"/>
  <c r="H19" i="8"/>
  <c r="I18" i="8"/>
  <c r="H18" i="8"/>
  <c r="I17" i="8"/>
  <c r="H17" i="8"/>
  <c r="I16" i="8"/>
  <c r="H16" i="8"/>
  <c r="I15" i="8"/>
  <c r="H15" i="8"/>
  <c r="I14" i="8"/>
  <c r="H14" i="8"/>
  <c r="I13" i="8"/>
  <c r="H13" i="8"/>
  <c r="I12" i="8"/>
  <c r="H12" i="8"/>
  <c r="I11" i="8"/>
  <c r="H11" i="8"/>
  <c r="I10" i="8"/>
  <c r="H10" i="8"/>
  <c r="I9" i="8"/>
  <c r="H9" i="8"/>
  <c r="I8" i="8"/>
  <c r="H8" i="8"/>
  <c r="I7" i="8"/>
  <c r="H7" i="8"/>
  <c r="I6" i="8"/>
  <c r="H6" i="8"/>
  <c r="E34" i="7"/>
  <c r="D34" i="7"/>
  <c r="G33" i="7"/>
  <c r="F33" i="7"/>
  <c r="G32" i="7"/>
  <c r="F32" i="7"/>
  <c r="G31" i="7"/>
  <c r="F31" i="7"/>
  <c r="G30" i="7"/>
  <c r="F30" i="7"/>
  <c r="G29" i="7"/>
  <c r="F29" i="7"/>
  <c r="G28" i="7"/>
  <c r="F28" i="7"/>
  <c r="G27" i="7"/>
  <c r="F27" i="7"/>
  <c r="G26" i="7"/>
  <c r="F26" i="7"/>
  <c r="G25" i="7"/>
  <c r="F25" i="7"/>
  <c r="G24" i="7"/>
  <c r="F24" i="7"/>
  <c r="G23" i="7"/>
  <c r="F23" i="7"/>
  <c r="G22" i="7"/>
  <c r="F22" i="7"/>
  <c r="G21" i="7"/>
  <c r="F21" i="7"/>
  <c r="G20" i="7"/>
  <c r="F20" i="7"/>
  <c r="G19" i="7"/>
  <c r="F19" i="7"/>
  <c r="G18" i="7"/>
  <c r="F18" i="7"/>
  <c r="G17" i="7"/>
  <c r="F17" i="7"/>
  <c r="G16" i="7"/>
  <c r="F16" i="7"/>
  <c r="G15" i="7"/>
  <c r="F15" i="7"/>
  <c r="G14" i="7"/>
  <c r="F14" i="7"/>
  <c r="G13" i="7"/>
  <c r="F13" i="7"/>
  <c r="F34" i="7" s="1"/>
  <c r="E9" i="7"/>
  <c r="D9" i="7"/>
  <c r="E8" i="7"/>
  <c r="D8" i="7"/>
  <c r="E7" i="7"/>
  <c r="D7" i="7"/>
  <c r="E6" i="7"/>
  <c r="D6" i="7"/>
  <c r="D15" i="6"/>
  <c r="D14" i="6"/>
  <c r="D13" i="6"/>
  <c r="D12" i="6"/>
  <c r="D11" i="6"/>
  <c r="D10" i="6"/>
  <c r="D9" i="6"/>
  <c r="D8" i="6"/>
  <c r="D7" i="6"/>
  <c r="D6" i="6"/>
  <c r="D5" i="6"/>
  <c r="H27" i="8" l="1"/>
  <c r="L17" i="14"/>
  <c r="M17" i="14" s="1"/>
  <c r="O17" i="14" s="1"/>
  <c r="L14" i="14"/>
  <c r="M14" i="14" s="1"/>
  <c r="O14" i="14" s="1"/>
  <c r="E41" i="24"/>
  <c r="F41" i="24"/>
  <c r="L8" i="14"/>
  <c r="M8" i="14" s="1"/>
  <c r="O8" i="14" s="1"/>
  <c r="L15" i="14"/>
  <c r="M15" i="14" s="1"/>
  <c r="O15" i="14" s="1"/>
  <c r="L12" i="14"/>
  <c r="M12" i="14" s="1"/>
  <c r="L9" i="14"/>
  <c r="M9" i="14" s="1"/>
  <c r="O9" i="14" s="1"/>
  <c r="F39" i="24"/>
  <c r="E39" i="24"/>
  <c r="L6" i="14"/>
  <c r="M6" i="14" s="1"/>
  <c r="F40" i="24"/>
  <c r="E40" i="24"/>
  <c r="K6" i="14"/>
  <c r="K9" i="14"/>
  <c r="K12" i="14"/>
  <c r="K15" i="14"/>
  <c r="K18" i="14"/>
  <c r="L18" i="14" s="1"/>
  <c r="M18" i="14" s="1"/>
  <c r="O18" i="14" s="1"/>
  <c r="K24" i="21"/>
  <c r="K30" i="21"/>
  <c r="K36" i="21"/>
  <c r="O6" i="14" l="1"/>
  <c r="M21" i="14"/>
  <c r="M19" i="14"/>
  <c r="O12" i="14"/>
  <c r="O20" i="14" s="1"/>
  <c r="M20" i="14"/>
  <c r="O21" i="14" l="1"/>
  <c r="O19" i="14"/>
</calcChain>
</file>

<file path=xl/sharedStrings.xml><?xml version="1.0" encoding="utf-8"?>
<sst xmlns="http://schemas.openxmlformats.org/spreadsheetml/2006/main" count="4386" uniqueCount="1375">
  <si>
    <t>CLAN CERVECERO × WALMART / PAIZ — HUB DE DATOS</t>
  </si>
  <si>
    <t>Corte: 24 de agosto de 2026 · venta hasta semana 202629 (15–21 ago) · inventario tiendas 23/08 · bodega Clan EN VIVO (Odoo API) · montos sin IVA</t>
  </si>
  <si>
    <t>🧪 ¿Está todo al 100? → 9. DATA CHECK (qué falta y quién lo trae)</t>
  </si>
  <si>
    <t>EL PULSO</t>
  </si>
  <si>
    <t>Venta semana:  Q 10,906</t>
  </si>
  <si>
    <t>Instock de PISO:  29.1%</t>
  </si>
  <si>
    <t>Instock de SISTEMA:  92.5%</t>
  </si>
  <si>
    <t>Recuperable / semana:  Q 21,611</t>
  </si>
  <si>
    <t>+5.6% vs anterior</t>
  </si>
  <si>
    <t>↑ desde 26.4% · meta 60%</t>
  </si>
  <si>
    <t>la brecha sigue siendo bodega</t>
  </si>
  <si>
    <t>281 combos con stock sin venta</t>
  </si>
  <si>
    <t>Stock en tiendas:  9,434 u</t>
  </si>
  <si>
    <t>Pipeline entrante:  0 u</t>
  </si>
  <si>
    <t>Acciones vencidas o críticas:  5</t>
  </si>
  <si>
    <t>Días para vigencia 02/09:  9</t>
  </si>
  <si>
    <t>Q 272k a costo · −264 u vs 16/08</t>
  </si>
  <si>
    <t>⚠ nada en tránsito ni pedido</t>
  </si>
  <si>
    <t>ver hoja 1</t>
  </si>
  <si>
    <t>7 ítems no modulados</t>
  </si>
  <si>
    <t>🎯 LA TESIS — por qué todo esto: la evidencia por pilar y los KPIs que la validan (clic)</t>
  </si>
  <si>
    <t>ÍNDICE — clic para ir</t>
  </si>
  <si>
    <t>🔴 ACCIÓN</t>
  </si>
  <si>
    <t>1. ACCIONES URGENTES</t>
  </si>
  <si>
    <t>Mesa de pendientes con semáforo, dueño y fecha límite. Empezá aquí.</t>
  </si>
  <si>
    <t>2. BITÁCORA</t>
  </si>
  <si>
    <t>Qué pasó día a día y los hitos que vienen (25/08 → 31/10).</t>
  </si>
  <si>
    <t>📈 DESEMPEÑO</t>
  </si>
  <si>
    <t>3. KPI SEMANAL</t>
  </si>
  <si>
    <t>La serie que se alimenta cada semana: venta, instock, fantasmas, pipeline.</t>
  </si>
  <si>
    <t>Antes vs Después</t>
  </si>
  <si>
    <t>Semana 202628 vs 202629 por ítem y la lectura honesta del uplift.</t>
  </si>
  <si>
    <t>4. SELL-OUT</t>
  </si>
  <si>
    <t>POS por ítem, por tienda y curva diaria. Regla: surtir jueves.</t>
  </si>
  <si>
    <t>5. SELL-THROUGH</t>
  </si>
  <si>
    <t>Rotación vs inventario: ST% semanal y cobertura por ítem, con semáforo.</t>
  </si>
  <si>
    <t>6. SELL-IN PIPELINE</t>
  </si>
  <si>
    <t>OCs, tránsito (hoy: CERO ⚠), llegadas futuras y pedidos propuestos.</t>
  </si>
  <si>
    <t>HISTÓRICO 112 SEM</t>
  </si>
  <si>
    <t>Serie completa desde el ingreso (jul-2024), temporadas 2024 vs 2025 y benchmark.</t>
  </si>
  <si>
    <t>📦 INVENTARIO Y PEDIDO</t>
  </si>
  <si>
    <t>MAX SHELF (VNDR9)</t>
  </si>
  <si>
    <t>Capacidad de góndola por ítem — la respuesta de Cristian. Trooper 4.1x.</t>
  </si>
  <si>
    <t>Modelo Pedido</t>
  </si>
  <si>
    <t>Pedido A (modulados, ejecutable) y B (condicionado). Supuestos editables.</t>
  </si>
  <si>
    <t>Prepedido Oktoberfest</t>
  </si>
  <si>
    <t>Reactivación LATA + prepedido 1,000 u + 4-way. Barrilito 5 L descartado 24/08 (sin stock).</t>
  </si>
  <si>
    <t>Liquidación</t>
  </si>
  <si>
    <t>8 inactivos: 1,170 u restantes, por tienda. Sapporo Gold sin ruta.</t>
  </si>
  <si>
    <t>Vencimientos</t>
  </si>
  <si>
    <t>Los 7 no modulados: vigencia 02/09 y física 2027-28.</t>
  </si>
  <si>
    <t>Inventario Clan (Odoo)</t>
  </si>
  <si>
    <t>NUEVO: bodega en vivo vía API — respaldo del prepedido y hallazgos de facturación.</t>
  </si>
  <si>
    <t>🏪 CAMPO</t>
  </si>
  <si>
    <t>8. MERCADERISTAS</t>
  </si>
  <si>
    <t>Estado del proyecto: equipo, cobertura 17/40, calidad del dato.</t>
  </si>
  <si>
    <t>Campo v2 (17 tiendas)</t>
  </si>
  <si>
    <t>Hallazgos por tienda 14–24 ago: Mega 6 BORRADO, Pinula vencido, Roosevelt reempaques.</t>
  </si>
  <si>
    <t>Verificación Campo</t>
  </si>
  <si>
    <t>Línea base del 14/08 (VN 2% · Pradera 109%).</t>
  </si>
  <si>
    <t>Prioridad Tiendas</t>
  </si>
  <si>
    <t>Ruta por olas según Q recuperables.</t>
  </si>
  <si>
    <t>Plantilla Mercaderistas</t>
  </si>
  <si>
    <t>Formato estándar de captura con lista de códigos.</t>
  </si>
  <si>
    <t>📚 REFERENCIA</t>
  </si>
  <si>
    <t>7. CATÁLOGO</t>
  </si>
  <si>
    <t>Fuente única de los 21 ítems: clase, vigencia, capacidad, logística, notas.</t>
  </si>
  <si>
    <t>Resumen</t>
  </si>
  <si>
    <t>Diagnóstico original (corte 16/08) y supuestos del modelo.</t>
  </si>
  <si>
    <t>Detalle 443 combos</t>
  </si>
  <si>
    <t>La data cruda combo por combo con filtros.</t>
  </si>
  <si>
    <t>CÓMO SE ACTUALIZA: cada lunes bajar el "Formato Nuevo Semanal" de Retail Link → columna nueva en KPI SEMANAL → refrescar Antes vs Después y SELL-THROUGH. El campo entra por la Plantilla Mercaderistas. Colores de pestaña: rojo = acción · verde = desempeño · dorado = inventario/pedido · naranja = campo · gris = referencia.</t>
  </si>
  <si>
    <t>◀ HUB</t>
  </si>
  <si>
    <t>LA TESIS — POR QUÉ ESTAMOS HACIENDO TODO ESTO</t>
  </si>
  <si>
    <t>"Perdimos el control de la operación y con él la venta. Con mercaderistas + gestión + monitoreo, Walmart/Paiz repunta y vende como nunca." — Este hub existe para PROBARLA con datos y trasladarla a los actores.</t>
  </si>
  <si>
    <t>PILAR 1 · LA CAÍDA FUE DE EJECUCIÓN, NO DE DEMANDA — PROBADO ✔</t>
  </si>
  <si>
    <t>Afirmación</t>
  </si>
  <si>
    <t>Evidencia</t>
  </si>
  <si>
    <t>Dónde verla</t>
  </si>
  <si>
    <t>La venta cayó a la mitad con el mismo catálogo y las mismas tiendas</t>
  </si>
  <si>
    <t>2024: Q 20,486/sem → 2026: Q 10,550/sem (−48%)</t>
  </si>
  <si>
    <t>El sistema cree que hay producto; el piso no lo tiene</t>
  </si>
  <si>
    <t>Instock sistema 90-92% vs instock de piso 26.4% (W628)</t>
  </si>
  <si>
    <t>El producto existe pero está varado en bodegas de tienda</t>
  </si>
  <si>
    <t>295 combos "fantasma": 6,512 u ≈ Q 200k sin exhibir</t>
  </si>
  <si>
    <t>Cuando el producto SÍ está, vende (experimento natural)</t>
  </si>
  <si>
    <t>Sapporo Black: código viejo agotado vs código nuevo 62 u con CERO venta en las mismas 4 tiendas</t>
  </si>
  <si>
    <t>La temporada se ejecutó bien una vez y rota la siguiente</t>
  </si>
  <si>
    <t>sep-dic 2024: Q 410,613 (+56 a +68%) vs 2025: Q 132,259 (todas negativas) → Q 278k sin capturar</t>
  </si>
  <si>
    <t>PILAR 2 · LA RED DE MERCADERISTAS + GESTIÓN YA GENERA VALOR — EVIDENCIA TEMPRANA ◐</t>
  </si>
  <si>
    <t>La red opera y ve lo que nadie más ve</t>
  </si>
  <si>
    <t>17-22 tiendas con evidencia foto; BORRADO en Mega 6 (12/18 SKU), vencido en Pinula, 135 u en reempaques Roosevelt, exclusión de planograma en Américas</t>
  </si>
  <si>
    <t>Donde se colocó, la venta respondió</t>
  </si>
  <si>
    <t>Utatlán +56%/día tras colocación; Américas +160% (y era la #1 de la marca); mix premium: Sapporo Silver +133%, Black +85% en W629</t>
  </si>
  <si>
    <t>El instock de piso empezó a moverse</t>
  </si>
  <si>
    <t>26.4% → 29.1% (+2.7 pp) en una semana de trabajo</t>
  </si>
  <si>
    <t>Lectura honesta: aún NO hay efecto de red atribuible</t>
  </si>
  <si>
    <t>La venta total subió +5.6% igual en tiendas con y sin acción; la colocación fue el viernes (1 día de la semana). La prueba limpia es el corte del 05/09 con 2 semanas plenas</t>
  </si>
  <si>
    <t>PILAR 3 · EL REPUNTE ES ALCANZABLE Y MEDIBLE — EN MEDICIÓN ▶</t>
  </si>
  <si>
    <t>El techo no es una proyección: es historia propia</t>
  </si>
  <si>
    <t>Q 20.5k/sem ya se vendió en 2024 con la misma red de tiendas</t>
  </si>
  <si>
    <t>Las palancas estructurales están identificadas y en gestión</t>
  </si>
  <si>
    <t>Capacidad de los 7 no modulados (ID 90884), planograma, OCs, reactivaciones Oktoberfest, BORRADO</t>
  </si>
  <si>
    <t>La bodega respalda el plan (con 1 excepción)</t>
  </si>
  <si>
    <t>142,949 u disponibles; lata Oktoberfest 3,705 u (3.7× el prepedido). El barrilito se DESCARTÓ el mismo día (16 u, sin compra en camino): la visibilidad de bodega evitó comprometer lo que no se podía entregar — eso también es control</t>
  </si>
  <si>
    <t>La temporada es la ventana de demostración</t>
  </si>
  <si>
    <t>Oktoberfest arranca 12/09: lata vendió 2,688 u el ciclo pasado entrando TARDE (dic); este año entramos a tiempo</t>
  </si>
  <si>
    <t>KPIs QUE VALIDAN (O REFUTAN) LA TESIS — el marcador del partido</t>
  </si>
  <si>
    <t>KPI</t>
  </si>
  <si>
    <t>Base (antes)</t>
  </si>
  <si>
    <t>Hoy</t>
  </si>
  <si>
    <t>Meta que valida la tesis</t>
  </si>
  <si>
    <t>Corte</t>
  </si>
  <si>
    <t>Instock de piso (combos que venden)</t>
  </si>
  <si>
    <t>26.4% (W628)</t>
  </si>
  <si>
    <t>29.1%</t>
  </si>
  <si>
    <t>≥ 45% al 30/09 · ≥ 60% tiendas Ola 1</t>
  </si>
  <si>
    <t>05/09 y cada lunes</t>
  </si>
  <si>
    <t>Venta semanal sell-out</t>
  </si>
  <si>
    <t>Q 10,325 (W628)</t>
  </si>
  <si>
    <t>Q 10,906</t>
  </si>
  <si>
    <t>≥ Q 15k en oct · ≥ Q 20k nov-dic</t>
  </si>
  <si>
    <t>cada lunes</t>
  </si>
  <si>
    <t>Combos fantasma (stock sin venta)</t>
  </si>
  <si>
    <t>295 (W628)</t>
  </si>
  <si>
    <t>281</t>
  </si>
  <si>
    <t>&lt; 100 al 30/09</t>
  </si>
  <si>
    <t>Temporada sep-dic (venta total)</t>
  </si>
  <si>
    <t>Q 132,259 (2025)</t>
  </si>
  <si>
    <t>—</t>
  </si>
  <si>
    <t>≥ Q 300k (2024 hizo Q 410k)</t>
  </si>
  <si>
    <t>31/12</t>
  </si>
  <si>
    <t>Uplift tiendas con acción vs sin acción</t>
  </si>
  <si>
    <t>sin medición</t>
  </si>
  <si>
    <t>+56%/día Utatlán (1 caso)</t>
  </si>
  <si>
    <t>uplift positivo y sostenido en Ola 1</t>
  </si>
  <si>
    <t>corte 05/09</t>
  </si>
  <si>
    <t>Pipeline de reposición entrante</t>
  </si>
  <si>
    <t>0 u (23/08)</t>
  </si>
  <si>
    <t>0 u ⚠</t>
  </si>
  <si>
    <t>flujo continuo ≥ venta semanal</t>
  </si>
  <si>
    <t>CÓMO SE TRASLADA A LOS ACTORES — de datos a decisiones</t>
  </si>
  <si>
    <t>Cuándo</t>
  </si>
  <si>
    <t>Movimiento</t>
  </si>
  <si>
    <t>Estado</t>
  </si>
  <si>
    <t>HOY lun 24</t>
  </si>
  <si>
    <t>Correo a Max + Cristian (CC Carlos) con PDF de seguimiento: resultados, hallazgos y 6 solicitudes concretas</t>
  </si>
  <si>
    <t>Borrador listo — lo enviás vos</t>
  </si>
  <si>
    <t>Jue 27</t>
  </si>
  <si>
    <t>Reunión presencial: este hub + deck + muestras físicas + troqueles. El PDF funciona como acta</t>
  </si>
  <si>
    <t>Deck 15 láminas listo</t>
  </si>
  <si>
    <t>Vie 05/09</t>
  </si>
  <si>
    <t>Corte de uplift con 2 semanas plenas de ejecución (bajar semana 202630 el sáb 29 o lun 31)</t>
  </si>
  <si>
    <t>La prueba limpia de la tesis</t>
  </si>
  <si>
    <t>12/09</t>
  </si>
  <si>
    <t>Arranque Oktoberfest en góndola (si la reactivación sale esta semana)</t>
  </si>
  <si>
    <t>La ventana de demostración</t>
  </si>
  <si>
    <t>Cada lunes</t>
  </si>
  <si>
    <t>Refresco del hub (Retail Link + Odoo API) y semáforo de KPIs a los actores</t>
  </si>
  <si>
    <t>Rutina que sostiene el control</t>
  </si>
  <si>
    <t>Registro honesto: lo PROBADO está probado con datos verificables; lo TEMPRANO tiene 1 semana de evidencia; la tesis completa se valida (o se ajusta) con los cortes del 05/09 y la temporada.</t>
  </si>
  <si>
    <t>DATA CHECK — ¿está todo al 100?</t>
  </si>
  <si>
    <t>Corte 24/08/2026 · 18:30. Veredicto: base OPERATIVA completa y cuadrada; de las 9 piezas de MEDICIÓN ya cerraron 3 (histórico, sell-in y AHORA conexión Odoo en vivo). Quedan 6, dos dependen de Walmart.</t>
  </si>
  <si>
    <t>A · LO QUE ESTÁ COMPLETO Y VALIDADO</t>
  </si>
  <si>
    <t>Fuente</t>
  </si>
  <si>
    <t>Cobertura</t>
  </si>
  <si>
    <t>Validación</t>
  </si>
  <si>
    <t>Sell-out Retail Link sem 202628 y 202629</t>
  </si>
  <si>
    <t>2 semanas completas, diario, 40 tiendas</t>
  </si>
  <si>
    <t>Cuadre triple: reporte semanal vs diario vs curva Lun-Dom = Q10,906.1 exacto en los tres</t>
  </si>
  <si>
    <t>Snapshot de inventario 16/08 y 23/08</t>
  </si>
  <si>
    <t>443 y 429 combos</t>
  </si>
  <si>
    <t>Consistente entre reportes; caída de universo explicada (ver C)</t>
  </si>
  <si>
    <t>Capacidad de góndola (VNDR9 de Cristian, 18/08)</t>
  </si>
  <si>
    <t>39 de 40 tiendas, 13 ítems</t>
  </si>
  <si>
    <t>Cruza perfecto con campo: shelf 0 ↔ BORRADO/NO TRT/liquidación</t>
  </si>
  <si>
    <t>Maestro artículo-tienda-válida D96 (23/08)</t>
  </si>
  <si>
    <t>6 modulados × 34-40 tiendas</t>
  </si>
  <si>
    <t>Consistente con VNDR9 (tipo 33 = M)</t>
  </si>
  <si>
    <t>Campo mercaderistas v1+v2</t>
  </si>
  <si>
    <t>17 de 40 tiendas, 67 mensajes</t>
  </si>
  <si>
    <t>Códigos normalizados; totales recalculados del detalle (verificacion_automatica)</t>
  </si>
  <si>
    <t>Catálogo comercial (21 ítems + clases)</t>
  </si>
  <si>
    <t>Completo</t>
  </si>
  <si>
    <t>Correlación clase↔vencimiento sin excepciones</t>
  </si>
  <si>
    <t>Artes 4-pack Trooper y Hobgoblin</t>
  </si>
  <si>
    <t>Troqueles finales</t>
  </si>
  <si>
    <t>Listos para alta</t>
  </si>
  <si>
    <t>Torre de Control W29</t>
  </si>
  <si>
    <t>Semanal propio funcionando</t>
  </si>
  <si>
    <t>Coincide en dirección; denominador distinto documentado (ver C)</t>
  </si>
  <si>
    <t>Odoo (API en vivo, 24/08)</t>
  </si>
  <si>
    <t>Sell-in 2026 + bodega completa</t>
  </si>
  <si>
    <t>Cuadre mensual exacto vs export 19/08 (dif. explicadas); share Walmart 17.7% consistente con estimación previa (~18%)</t>
  </si>
  <si>
    <t>B · LAS 9 PIEZAS QUE FALTAN — en orden de impacto</t>
  </si>
  <si>
    <t>#</t>
  </si>
  <si>
    <t>Pieza faltante</t>
  </si>
  <si>
    <t>Para qué sirve</t>
  </si>
  <si>
    <t>Quién / cómo se consigue</t>
  </si>
  <si>
    <t>Venta semana 202630 (22–28 ago)</t>
  </si>
  <si>
    <t>La medición REAL del uplift: 2 semanas completas post-colocación</t>
  </si>
  <si>
    <t>Vos: bajar Formato Nuevo Semanal en Retail Link</t>
  </si>
  <si>
    <t>sábado 29 o lunes 31</t>
  </si>
  <si>
    <t>✔ CERRADO 24/08 — 112 semanas consolidadas (backfill del repo + FNS master). Ver hoja HISTÓRICO 112 SEM</t>
  </si>
  <si>
    <t>Estacionalidad, tendencia y validar el prepedido Oktoberfest con base, no con 2 puntos</t>
  </si>
  <si>
    <t>Vos: mismo reporte de Retail Link con rango "Últimas 13 semanas" (una sola bajada)</t>
  </si>
  <si>
    <t>esta semana</t>
  </si>
  <si>
    <t>✔ CERRADO 24/08 — CONEXIÓN ODOO EN VIVO (API xmlrpc): sell-in 2026 Q 485,911 (17.7% de Clan), bodega 139 SKUs / 142,949 u, hallazgos de facturación. Historia 2024-25 desde legacy (ya en HISTÓRICO). Ver hoja Inventario Clan (Odoo).</t>
  </si>
  <si>
    <t>Cerrar el círculo sell-in vs sell-out vs inventario; hoy el hub solo tiene el lado Walmart</t>
  </si>
  <si>
    <t>Vos: export de Odoo (o conectar la Torre — su pendiente A20)</t>
  </si>
  <si>
    <t>Estado real de las OC 105573289/290</t>
  </si>
  <si>
    <t>El pipeline en CERO sugiere que se cancelaron; si es así, no hay reposición en camino</t>
  </si>
  <si>
    <t>Preguntar a Cristian (Odoo no registra la referencia de OC del cliente: no rastreable de nuestro lado)</t>
  </si>
  <si>
    <t>25/08</t>
  </si>
  <si>
    <t>Scorecard de fill rate / OTIF del proveedor</t>
  </si>
  <si>
    <t>Es el número con el que Walmart los mide a USTEDES; sin él, el sell-in está ciego</t>
  </si>
  <si>
    <t>Pedir a Cristian el reporte de fill rate del proveedor 258977960</t>
  </si>
  <si>
    <t>Chat WhatsApp exportado del teléfono</t>
  </si>
  <si>
    <t>Cierra la brecha 18/08 14:01 → 20/08 19:02 (posibles reportes perdidos)</t>
  </si>
  <si>
    <t>Vos: WhatsApp &gt; chat &gt; exportar (sin medios basta)</t>
  </si>
  <si>
    <t>cuando puedas</t>
  </si>
  <si>
    <t>SKU/lote/cantidad del vencido en Pinula + reporte Chiquimula</t>
  </si>
  <si>
    <t>Cerrar el riesgo #3 y completar cobertura Nor-Oriente</t>
  </si>
  <si>
    <t>Zetino (Pinula) y Sucely Guerra vía Gladys Díaz</t>
  </si>
  <si>
    <t>48 h</t>
  </si>
  <si>
    <t>Maestro de estatus de TODOS los ítems del proveedor (no solo válidos)</t>
  </si>
  <si>
    <t>Dimensionar el alcance real del BORRADO: hoy solo lo vemos donde el campo miró</t>
  </si>
  <si>
    <t>Pedir a Max el reporte de estatus de artículo por proveedor, o correrlo en Retail Link</t>
  </si>
  <si>
    <t>Costo real de flete/entrada por caja</t>
  </si>
  <si>
    <t>Afinar márgenes del hub (hoy: costo Retail Link, que puede no incluir logística)</t>
  </si>
  <si>
    <t>Vos: dato interno Clan</t>
  </si>
  <si>
    <t>opcional</t>
  </si>
  <si>
    <t>C · DECISIONES DE MÉTODO (para no pelearse con los números después)</t>
  </si>
  <si>
    <t>IVA — el hallazgo que resuelve el "misterio" de precios</t>
  </si>
  <si>
    <t>El anaquel real (handheld San Lucas) está 12% arriba del "Precio Unitario" de Retail Link en TODOS los ítems no liquidados. Es el IVA: Retail Link reporta SIN IVA. → Todos los Q del hub son sin IVA; el consumidor paga 12% más. Las 3 excepciones con precio menor (St Peter's Q30.2/Q20, Hobgoblin Q20) son las rebajas de liquidación — validadas.</t>
  </si>
  <si>
    <t>Universo fijo</t>
  </si>
  <si>
    <t>El Formato Semanal solo trae combos con actividad: el denominador cambió solo de 443 → 429 (salieron 14 combos inactivos ya drenados y 2 quiebres de Helles; entraron 2). DECISIÓN PROPUESTA: medir instock sobre el universo VNDR9 (combinaciones autorizadas) para modulados + catálogo activo para el resto, y dejar el universo "con actividad" solo como referencia. Así el KPI no mejora "gratis" cuando un combo muere.</t>
  </si>
  <si>
    <t>Tienda 40</t>
  </si>
  <si>
    <t>WM Quetzaltenango Periférico (1087) NO existe en el VNDR9: cero capacidad definida en todos los ítems. Toda medición de capacidad es sobre 39 tiendas; 1087 necesita decisión de Walmart (¿entra al modular o se saca del universo?).</t>
  </si>
  <si>
    <t>Momento del snapshot</t>
  </si>
  <si>
    <t>El inventario es el corte del sábado siguiente a la semana de venta. Sell-through usa OH inicial = snapshot previo. Documentado en cada hoja.</t>
  </si>
  <si>
    <t>D · CHEQUEOS DE INTEGRIDAD CORRIDOS HOY</t>
  </si>
  <si>
    <t>Chequeo</t>
  </si>
  <si>
    <t>Resultado</t>
  </si>
  <si>
    <t>Cuadre venta 202629 entre 3 reportes independientes (771 semanal / 573 diario / 554 curva)</t>
  </si>
  <si>
    <t>✔ Q10,906 exacto en los tres</t>
  </si>
  <si>
    <t>Suma diaria 202628 vs total semanal</t>
  </si>
  <si>
    <t>✔ Q10,325.05 exacto</t>
  </si>
  <si>
    <t>VNDR9 vs maestro D96 (tipo 33 ↔ MBM=M)</t>
  </si>
  <si>
    <t>✔ consistente, 6/6 ítems</t>
  </si>
  <si>
    <t>Campo vs sistema (BORRADO/NO TRT ↔ shelf 0/OTRO)</t>
  </si>
  <si>
    <t>✔ Mega 6, Huehue y Cobán coinciden en las dos fuentes</t>
  </si>
  <si>
    <t>Códigos de ítem del campo</t>
  </si>
  <si>
    <t>✔ 7 errores de digitación normalizados; plantilla con lista desplegable lista</t>
  </si>
  <si>
    <t>Fechas de vencimiento físicas vs vigencia de catálogo</t>
  </si>
  <si>
    <t>✔ resuelto: catálogo 02/09 = vigencia; física 2027-28</t>
  </si>
  <si>
    <t>Precio sistema vs anaquel</t>
  </si>
  <si>
    <t>✔ delta = IVA 12% exacto; rebajas de liquidación identificadas</t>
  </si>
  <si>
    <t>Dato atípico pendiente</t>
  </si>
  <si>
    <t>⚠ Vista Hermosa: Trooper 94 u (5× promedio) — pedir foto de reconteo</t>
  </si>
  <si>
    <t>Sell-in Odoo EN VIVO vs export del 19/08</t>
  </si>
  <si>
    <t>✔ idéntico ene-jul (dif. Q354 × 4 meses por NC menor); agosto difiere Q39k explicado: FEL0789 anulada→FEL0791 + 2 ventas sin facturar</t>
  </si>
  <si>
    <t>Facturación agosto (hallazgo de la conexión)</t>
  </si>
  <si>
    <t>⚠ S00863 (~Q7.8k) en borrador y S00912 (Q9.3k, 12/08) entregada sin facturar → postear/facturar esta semana</t>
  </si>
  <si>
    <t>Bodega vs prepedido Oktoberfest</t>
  </si>
  <si>
    <t>✔ RESUELTO 24/08 — lata 3,705 u = 3.7× el prepedido · barrilito 5L DESCARTADO del prepedido ese mismo día (16 u, sin PO en camino): decisión tomada a tiempo gracias a la conexión en vivo</t>
  </si>
  <si>
    <t>Lotes en Odoo</t>
  </si>
  <si>
    <t>✖ sin rastreo de lotes: vencimientos siguen viniendo de campo/legacy. Recomendación: activar seguimiento por lote</t>
  </si>
  <si>
    <t>ACCIONES URGENTES — mesa de pendientes</t>
  </si>
  <si>
    <t>Corte 24/08/2026. Ordenado por urgencia. Filtrá con los encabezados. Semáforo: 🔴 vencido / crítico · 🟡 esta semana · 🟢 programado.</t>
  </si>
  <si>
    <t>Semáforo</t>
  </si>
  <si>
    <t>Acción</t>
  </si>
  <si>
    <t>Alcance</t>
  </si>
  <si>
    <t>Dueño sugerido</t>
  </si>
  <si>
    <t>Fecha límite</t>
  </si>
  <si>
    <t>🔴</t>
  </si>
  <si>
    <t>Reescalar exclusión del planograma con dato de venta (+160% esa semana)</t>
  </si>
  <si>
    <t>Paiz Américas</t>
  </si>
  <si>
    <t>Diego → Max/SERGIO</t>
  </si>
  <si>
    <t>Escalado 17/08, SIN RESPUESTA 7 días</t>
  </si>
  <si>
    <t>VENCIDO</t>
  </si>
  <si>
    <t>Campo 17/08</t>
  </si>
  <si>
    <t>Producto vencido en sala: exigir SKU, lote, foto y retiro</t>
  </si>
  <si>
    <t>Paiz Pinula</t>
  </si>
  <si>
    <t>Jelver Miranda GSP</t>
  </si>
  <si>
    <t>Escalado 24/08 sin detalle</t>
  </si>
  <si>
    <t>48 horas</t>
  </si>
  <si>
    <t>Campo 24/08</t>
  </si>
  <si>
    <t>Vigencia + MAX_SHELF de los 7 no modulados (hoy capacidad = 0)</t>
  </si>
  <si>
    <t>Toda la red</t>
  </si>
  <si>
    <t>Max Sosa (ID 90884)</t>
  </si>
  <si>
    <t>Abierto desde 04/06</t>
  </si>
  <si>
    <t>02/09 (9 días)</t>
  </si>
  <si>
    <t>VNDR9 + Retail Link</t>
  </si>
  <si>
    <t>Solicitar reactivación HB Oktoberfestbier LATA con capacidad asignada (barrilito descartado 24/08 por stock)</t>
  </si>
  <si>
    <t>Catálogo</t>
  </si>
  <si>
    <t>Diego → Max</t>
  </si>
  <si>
    <t>Sin solicitar</t>
  </si>
  <si>
    <t>Reunión 18/08</t>
  </si>
  <si>
    <t>Enviar prepedido Oktoberfest a Cristian (1,000 u lata — SOLO lata)</t>
  </si>
  <si>
    <t>Diego</t>
  </si>
  <si>
    <t>Borrador listo</t>
  </si>
  <si>
    <t>Hoja Prepedido</t>
  </si>
  <si>
    <t>🟡</t>
  </si>
  <si>
    <t>Alta 4-packs Trooper y Hobgoblin con render 3D (Hofbräu falta arte)</t>
  </si>
  <si>
    <t>Temporada</t>
  </si>
  <si>
    <t>Troqueles finales listos</t>
  </si>
  <si>
    <t>~05/09 (modular Halloween)</t>
  </si>
  <si>
    <t>PDFs troquel</t>
  </si>
  <si>
    <t>Confirmar si BORRADO de 12 SKU es decisión de cadena y en cuántas tiendas aplica</t>
  </si>
  <si>
    <t>Paiz Mega 6 → cadena</t>
  </si>
  <si>
    <t>Max Sosa</t>
  </si>
  <si>
    <t>Nuevo 21/08</t>
  </si>
  <si>
    <t>Esta semana</t>
  </si>
  <si>
    <t>Campo + VNDR9</t>
  </si>
  <si>
    <t>Recuperar 28 u St Peter's Suffolk del área de merma</t>
  </si>
  <si>
    <t>WM Naranjo</t>
  </si>
  <si>
    <t>Mercaderista Daya</t>
  </si>
  <si>
    <t>Abierto</t>
  </si>
  <si>
    <t>Campo 18/08</t>
  </si>
  <si>
    <t>Reconteos pendientes: WM Naranjo (desde 18/08) y Villa Nueva (brecha 204 u)</t>
  </si>
  <si>
    <t>2 tiendas</t>
  </si>
  <si>
    <t>Supervisión GSP</t>
  </si>
  <si>
    <t>Campo v2</t>
  </si>
  <si>
    <t>Reporte faltante Paiz Chiquimula (Jr Sucely Guerra)</t>
  </si>
  <si>
    <t>1 tienda</t>
  </si>
  <si>
    <t>Gladys Díaz</t>
  </si>
  <si>
    <t>Sin reporte</t>
  </si>
  <si>
    <t>Rotar lote Trooper dic-2026 (66 u documentadas) vía 4-way / cara Trooper</t>
  </si>
  <si>
    <t>5 tiendas</t>
  </si>
  <si>
    <t>Diego + GSP</t>
  </si>
  <si>
    <t>Documentado</t>
  </si>
  <si>
    <t>Septiembre</t>
  </si>
  <si>
    <t>VISUAL + campo</t>
  </si>
  <si>
    <t>🟢</t>
  </si>
  <si>
    <t>Exportar chat WhatsApp del teléfono (brecha 18-20/08)</t>
  </si>
  <si>
    <t>Datos</t>
  </si>
  <si>
    <t>Identificada</t>
  </si>
  <si>
    <t>Cuando se pueda</t>
  </si>
  <si>
    <t>Reporte v2</t>
  </si>
  <si>
    <t>Medición seria del uplift: corte semana 202631 con 2 semanas completas</t>
  </si>
  <si>
    <t>Análisis</t>
  </si>
  <si>
    <t>Diego + Claude</t>
  </si>
  <si>
    <t>Programada</t>
  </si>
  <si>
    <t>~05/09</t>
  </si>
  <si>
    <t>Torre de Control: cargar MAX_SHELF completo (Libro9), llave Resend, firma v1</t>
  </si>
  <si>
    <t>Interno</t>
  </si>
  <si>
    <t>6/9 criterios sin reserva</t>
  </si>
  <si>
    <t>25/08 revisar criterio 4</t>
  </si>
  <si>
    <t>CANAL MODERNO</t>
  </si>
  <si>
    <t>BITÁCORA — qué cambió y qué viene</t>
  </si>
  <si>
    <t>Cronología del proyecto + hitos futuros. Los hitos en ámbar aún dependen de una acción abierta.</t>
  </si>
  <si>
    <t>Fecha</t>
  </si>
  <si>
    <t>Tipo</t>
  </si>
  <si>
    <t>Evento</t>
  </si>
  <si>
    <t>Efecto / por qué importa</t>
  </si>
  <si>
    <t>12/08</t>
  </si>
  <si>
    <t>NP</t>
  </si>
  <si>
    <t>Diego envía formato de nota prioritaria a Max/Carlos/Cristian</t>
  </si>
  <si>
    <t>Arranca el proyecto de colocación</t>
  </si>
  <si>
    <t>13/08</t>
  </si>
  <si>
    <t>Sell-in</t>
  </si>
  <si>
    <t>Cristian emite OC 105573289 y 105573290 (cancelación 18/08), condicionadas a aplicar NP</t>
  </si>
  <si>
    <t>Pipeline de reposición condicionado</t>
  </si>
  <si>
    <t>14/08</t>
  </si>
  <si>
    <t>Campo</t>
  </si>
  <si>
    <t>Primeros conteos: VN 10/257 físico (2%), Pradera 155/142 (109%); grupo WhatsApp activo (24 miembros)</t>
  </si>
  <si>
    <t>Línea base del proyecto</t>
  </si>
  <si>
    <t>17/08 08:58</t>
  </si>
  <si>
    <t>Carlos publica NP I000106341_v001 (WM y Super, 24 líneas)</t>
  </si>
  <si>
    <t>Instrucción formal a tiendas</t>
  </si>
  <si>
    <t>17/08 09:19</t>
  </si>
  <si>
    <t>Riesgo</t>
  </si>
  <si>
    <t>Paiz Américas: planograma nuevo SIN la marca</t>
  </si>
  <si>
    <t>Riesgo estructural #1; sigue sin respuesta</t>
  </si>
  <si>
    <t>17/08</t>
  </si>
  <si>
    <t>San Lucas reporta con precios y modulación; pide NP para Helles y Belhaven</t>
  </si>
  <si>
    <t>Primer reporte "completo"</t>
  </si>
  <si>
    <t>18/08 11:00</t>
  </si>
  <si>
    <t>Reunión</t>
  </si>
  <si>
    <t>PROPUESTAS TEMPORADA con Max y Cristian (Teams)</t>
  </si>
  <si>
    <t>Se presentan diagnóstico, pedidos A/B y 5 SKUs de temporada</t>
  </si>
  <si>
    <t>18/08 11:48</t>
  </si>
  <si>
    <t>Sistema</t>
  </si>
  <si>
    <t>Cristian responde con VNDR9 "MAX SHELF": modulados con capacidad; tipo 03 = 0</t>
  </si>
  <si>
    <t>Confirmación estructural de la hipótesis</t>
  </si>
  <si>
    <t>18/08</t>
  </si>
  <si>
    <t>Utatlán coloca 3 SKU fuera de plano → venta +56%/día</t>
  </si>
  <si>
    <t>Primera evidencia de uplift por ejecución</t>
  </si>
  <si>
    <t>20/08</t>
  </si>
  <si>
    <t>Roosevelt: 615 u cuadradas 100% pero 135 u en reempaques; San Cristóbal casi cuadrado</t>
  </si>
  <si>
    <t>La modulación del ~05/08 dejó producto empacado</t>
  </si>
  <si>
    <t>21/08</t>
  </si>
  <si>
    <t>Mega 6: 12 de 18 SKU BORRADO en maestro de tienda; Pacific Center: FOTD vence 31/12/26 liquidado</t>
  </si>
  <si>
    <t>Baja de surtido parametrizada + lote corto</t>
  </si>
  <si>
    <t>VN reconteo: brecha 247→204 (17% recuperado); Cobán colocado y rotulado; Huehue bloqueada (inventario)</t>
  </si>
  <si>
    <t>La colocación avanza lento</t>
  </si>
  <si>
    <t>23/08</t>
  </si>
  <si>
    <t>4 reportes nuevos de Retail Link (semana 202629 completa + maestro + diario + curva semanal)</t>
  </si>
  <si>
    <t>Primera medición antes/después</t>
  </si>
  <si>
    <t>24/08</t>
  </si>
  <si>
    <t>Pinula: producto VENCIDO en sala (SKU sin identificar), escalado a GSP</t>
  </si>
  <si>
    <t>Cerrar antes de que Walmart lo levante</t>
  </si>
  <si>
    <t>Sem 202629: red +5.6%; Sapporo Silver +133%, Black +85%; instock piso 26.4%→29.1%</t>
  </si>
  <si>
    <t>El uplift arrancó por los premium</t>
  </si>
  <si>
    <t>— PRÓXIMOS HITOS —</t>
  </si>
  <si>
    <t>HITO</t>
  </si>
  <si>
    <t>Enviar reactivación Oktoberfest + prepedido a Cristian</t>
  </si>
  <si>
    <t>Sin esto no hay temporada Oktoberfest</t>
  </si>
  <si>
    <t>~29/08</t>
  </si>
  <si>
    <t>Cierra ventana modular Oktoberfest (góndola 12/09)</t>
  </si>
  <si>
    <t>4-pack Hofbräu + reactivaciones deben estar en trámite</t>
  </si>
  <si>
    <t>02/09</t>
  </si>
  <si>
    <t>Vencen los 7 ítems no modulados (vigencia de catálogo)</t>
  </si>
  <si>
    <t>Si no se extiende: medio surtido activo se apaga</t>
  </si>
  <si>
    <t>Cierra ventana modular Halloween + corte de medición (2 semanas completas de colocación)</t>
  </si>
  <si>
    <t>Alta de 4-packs Trooper/Hobgoblin; medición seria del uplift</t>
  </si>
  <si>
    <t>Producto Oktoberfest en góndola + llegada Sapporo Black 20 u a Roosevelt</t>
  </si>
  <si>
    <t>Arranque de temporada</t>
  </si>
  <si>
    <t>19/09–04/10</t>
  </si>
  <si>
    <t>Oktoberfest (191ª edición, Múnich)</t>
  </si>
  <si>
    <t>Ventana de venta</t>
  </si>
  <si>
    <t>01/10</t>
  </si>
  <si>
    <t>4-pack Hobgoblin Halloween en góndola; 4-way rota cara a Halloween</t>
  </si>
  <si>
    <t>Segunda ola de temporada</t>
  </si>
  <si>
    <t>31/10</t>
  </si>
  <si>
    <t>Halloween</t>
  </si>
  <si>
    <t>Pico de venta esperado</t>
  </si>
  <si>
    <t>KPI SEMANAL — la serie que se alimenta cada semana</t>
  </si>
  <si>
    <t>Semana Walmart corre sábado→viernes. Columna nueva cada semana con el reporte "Formato Nuevo Semanal". El corte de inventario es el snapshot de la semana siguiente.</t>
  </si>
  <si>
    <t>Sem 202628 (8–14 ago)</t>
  </si>
  <si>
    <t>Sem 202629 (15–21 ago)</t>
  </si>
  <si>
    <t>Δ</t>
  </si>
  <si>
    <t>Sem 202630 (22–28)</t>
  </si>
  <si>
    <t>Meta</t>
  </si>
  <si>
    <t>Sell-out (Q)</t>
  </si>
  <si>
    <t>pendiente corte 30/08</t>
  </si>
  <si>
    <t>Sell-out (unidades)</t>
  </si>
  <si>
    <t>Instock de PISO (combos con venta)</t>
  </si>
  <si>
    <t>60%</t>
  </si>
  <si>
    <t>Instock de SISTEMA (combos con stock)</t>
  </si>
  <si>
    <t>95%</t>
  </si>
  <si>
    <t>&lt;150</t>
  </si>
  <si>
    <t>Unidades inmovilizadas en fantasmas</t>
  </si>
  <si>
    <t>&lt;3,000</t>
  </si>
  <si>
    <t>Venta perdida recuperable (Q/sem)</t>
  </si>
  <si>
    <t>&lt;10,000</t>
  </si>
  <si>
    <t>Stock total red (u, corte siguiente)</t>
  </si>
  <si>
    <t>Stock inactivo a liquidar (u)</t>
  </si>
  <si>
    <t>0</t>
  </si>
  <si>
    <t>Ticket implícito (Q/u)</t>
  </si>
  <si>
    <t>Pipeline entrante (tránsito+pedido, u)</t>
  </si>
  <si>
    <t>&gt;0 ⚠</t>
  </si>
  <si>
    <t>⚠ Pipeline entrante en CERO: al corte del 23/08 no hay ni tránsito ni pedido de tienda en ninguna combinación. Nada viene en camino — si las OC del 13/08 se cancelaron, la reposición está apagada. Verificar con Cristian.</t>
  </si>
  <si>
    <t>ANTES VS DESPUÉS — semana 202628 (8–14 ago) vs 202629 (15–21 ago)</t>
  </si>
  <si>
    <t>NP publicada 17/08; colocación arrancó 18/08 → la semana 202629 solo trae 4 días de efecto parcial. Fuente: Retail Link, solicitudes 113137399 y 113345771.</t>
  </si>
  <si>
    <t>RED COMPLETA</t>
  </si>
  <si>
    <t>Métrica</t>
  </si>
  <si>
    <t>Sem 202628</t>
  </si>
  <si>
    <t>Sem 202629</t>
  </si>
  <si>
    <t>Δ %</t>
  </si>
  <si>
    <t>Venta (Q)</t>
  </si>
  <si>
    <t>Venta (unidades)</t>
  </si>
  <si>
    <t>Combos con venta (de 443)</t>
  </si>
  <si>
    <t>POR ÍTEM (venta Q) — el uplift está en Sapporo</t>
  </si>
  <si>
    <t>Ítem</t>
  </si>
  <si>
    <t>Descripción</t>
  </si>
  <si>
    <t>Clase</t>
  </si>
  <si>
    <t>Δ Q</t>
  </si>
  <si>
    <t>SAPPORO SILVER 650ML</t>
  </si>
  <si>
    <t>MODULADO</t>
  </si>
  <si>
    <t>TROOPERORIGINAL LATA</t>
  </si>
  <si>
    <t>SAPPORO BLACK 650 ML</t>
  </si>
  <si>
    <t>HB DUNKEL 500 ML</t>
  </si>
  <si>
    <t>TROOPER FOTD 500 ML</t>
  </si>
  <si>
    <t>HB ORIGINAL 500 ML</t>
  </si>
  <si>
    <t>HB HELLES LAGER LATA</t>
  </si>
  <si>
    <t>NO MODULADO</t>
  </si>
  <si>
    <t>NC OLD RASPUTIN LATA</t>
  </si>
  <si>
    <t>SAPPORO GOLD 650 ML</t>
  </si>
  <si>
    <t>INACTIVO</t>
  </si>
  <si>
    <t>NC SCRIMSHAW LATA</t>
  </si>
  <si>
    <t>HB MUNCHNER 500 ML</t>
  </si>
  <si>
    <t>STPET SUFFOLK 500</t>
  </si>
  <si>
    <t>BELHAVEN BEST LATA</t>
  </si>
  <si>
    <t>BELHAVEN BLACK LATA</t>
  </si>
  <si>
    <t>BELHAVEN MCCALLUMS</t>
  </si>
  <si>
    <t>HB SESSION LATA</t>
  </si>
  <si>
    <t>HOBGOBLIN RUBY 500</t>
  </si>
  <si>
    <t>STPET STOUT 500</t>
  </si>
  <si>
    <t>HOBGOBLIN STOUT 500</t>
  </si>
  <si>
    <t>HOBGOBLIN GOLD 500</t>
  </si>
  <si>
    <t>TOTAL</t>
  </si>
  <si>
    <t>LECTURA HONESTA</t>
  </si>
  <si>
    <t>La red creció +5.6% en Q — y el crecimiento fue idéntico en tiendas con acción documentada (+5.6%) y sin ella (+5.6%): todavía NO hay señal atribuible a nivel red. Con 4 días de colocación parcial es lo esperable.</t>
  </si>
  <si>
    <t>Donde SÍ hay señal es en el mix: Sapporo Silver +133% (Q1,109→Q2,588) y Sapporo Black +85% (Q862→Q1,594). Los dos modulados premium suman +Q2,211/semana. Trooper Original cayó Q-367: el mix rotó hacia ticket alto.</t>
  </si>
  <si>
    <t>Casos puntuales: Paiz Utatlán +56%/día tras colocar el 18/08 (el mercaderista puso 3 SKU fuera de plano en espacio adicional). Paiz Américas +160% (Q502→Q1,308) la semana del incidente de planograma.</t>
  </si>
  <si>
    <t>Por qué no se ve más: WM Roosevelt tiene 135 u inmovilizadas en reempaques, Villa Nueva sigue con 204 u de brecha física, Huehuetenango estuvo bloqueada por inventario general, y los 7 no modulados siguen sin capacidad de góndola (ver hoja MAX SHELF).</t>
  </si>
  <si>
    <t>SELL-OUT (POS Walmart/Paiz) — lo que el consumidor pagó en caja</t>
  </si>
  <si>
    <t>Por ítem y por tienda, semanas 202628 vs 202629. La vista por día está al final: la venta es de fin de semana (72% cae V-S-D).</t>
  </si>
  <si>
    <t>POR ÍTEM</t>
  </si>
  <si>
    <t>u 628</t>
  </si>
  <si>
    <t>Q 628</t>
  </si>
  <si>
    <t>u 629</t>
  </si>
  <si>
    <t>Q 629</t>
  </si>
  <si>
    <t>POR TIENDA (Q)</t>
  </si>
  <si>
    <t>Tienda #</t>
  </si>
  <si>
    <t>Nombre</t>
  </si>
  <si>
    <t>Acción documentada</t>
  </si>
  <si>
    <t>PAIZ LAS AMERICAS</t>
  </si>
  <si>
    <t>Américas planograma 17</t>
  </si>
  <si>
    <t>PAIZ ASUNCION</t>
  </si>
  <si>
    <t>PAIZ PRADERA</t>
  </si>
  <si>
    <t>Pradera conteo 14</t>
  </si>
  <si>
    <t>PAIZ COBAN</t>
  </si>
  <si>
    <t>Cobán 21-22/08 colocó</t>
  </si>
  <si>
    <t>PAIZ MONTBLANC</t>
  </si>
  <si>
    <t>WM DEL NORTE</t>
  </si>
  <si>
    <t>PAIZ COLONIA VISTA HERMOS</t>
  </si>
  <si>
    <t>PAIZ MEGA 6</t>
  </si>
  <si>
    <t>PAIZ SANTA CATARINA PINUL</t>
  </si>
  <si>
    <t>PAIZ NOVICENTRO ZONA 11</t>
  </si>
  <si>
    <t>WM ROOSEVELT</t>
  </si>
  <si>
    <t>Roosevelt conteo 20</t>
  </si>
  <si>
    <t>WALMART SAN CRISTóBAL</t>
  </si>
  <si>
    <t>WM ATANASIO TZUL</t>
  </si>
  <si>
    <t>PAIZ AGUILAR BATRES</t>
  </si>
  <si>
    <t>WM BOSQ SAN NICOLAS</t>
  </si>
  <si>
    <t>PAIZ HUEHUETENANGO</t>
  </si>
  <si>
    <t>PAIZ UTATLAN</t>
  </si>
  <si>
    <t>Utatlán 18/08 colocó</t>
  </si>
  <si>
    <t>PAIZ SAN CRISTOBAL</t>
  </si>
  <si>
    <t>PAIZ EL NARANJO</t>
  </si>
  <si>
    <t>P.Naranjo visib 18</t>
  </si>
  <si>
    <t>PAIZ MAZATENANGO</t>
  </si>
  <si>
    <t>PAIZ CARRETERA A EL SALVA</t>
  </si>
  <si>
    <t>PAIZ ALTOS DE SAN CRISTOB</t>
  </si>
  <si>
    <t>PAIZ FRAIJANES</t>
  </si>
  <si>
    <t>WM ALAMOS</t>
  </si>
  <si>
    <t>PAIZ SANTA AMELIA</t>
  </si>
  <si>
    <t>PAIZ SAN LUCAS</t>
  </si>
  <si>
    <t>San Lucas 17/08 colocó</t>
  </si>
  <si>
    <t>WM PROCERES</t>
  </si>
  <si>
    <t>PAIZ ROOSEVELT</t>
  </si>
  <si>
    <t>WM VILLA NUEVA</t>
  </si>
  <si>
    <t>V.Nueva conteo 14 y 21</t>
  </si>
  <si>
    <t>WM XELA</t>
  </si>
  <si>
    <t>PAIZ CHIQUIMULA PRADERA</t>
  </si>
  <si>
    <t>PAIZ SALIDA AL PACIFICO</t>
  </si>
  <si>
    <t>PAIZ PETAPA</t>
  </si>
  <si>
    <t>PAIZ VISTA HERMOSA</t>
  </si>
  <si>
    <t>V.Hermosa conteo 14</t>
  </si>
  <si>
    <t>PAIZ MONTUFAR</t>
  </si>
  <si>
    <t>WM NARANJO</t>
  </si>
  <si>
    <t>WM Naranjo conteo 18</t>
  </si>
  <si>
    <t>WM PUERTA PARADA</t>
  </si>
  <si>
    <t>P.Parada obs 17</t>
  </si>
  <si>
    <t>WM MIXCO</t>
  </si>
  <si>
    <t>WM QUETZALTENANGO PERIFER</t>
  </si>
  <si>
    <t>PAIZ LIBERACION</t>
  </si>
  <si>
    <t>Liberación conteo 14</t>
  </si>
  <si>
    <t>CURVA DIARIA (Q, red completa)</t>
  </si>
  <si>
    <t>Día</t>
  </si>
  <si>
    <t>Q</t>
  </si>
  <si>
    <t>Nota</t>
  </si>
  <si>
    <t>S</t>
  </si>
  <si>
    <t>08/08</t>
  </si>
  <si>
    <t>D</t>
  </si>
  <si>
    <t>09/08</t>
  </si>
  <si>
    <t>L</t>
  </si>
  <si>
    <t>10/08</t>
  </si>
  <si>
    <t>M</t>
  </si>
  <si>
    <t>11/08</t>
  </si>
  <si>
    <t>X</t>
  </si>
  <si>
    <t>NP enviada a Walmart</t>
  </si>
  <si>
    <t>J</t>
  </si>
  <si>
    <t>OCs emitidas</t>
  </si>
  <si>
    <t>V</t>
  </si>
  <si>
    <t>Primeros conteos de campo</t>
  </si>
  <si>
    <t>15/08</t>
  </si>
  <si>
    <t>16/08</t>
  </si>
  <si>
    <t>NP publicada 8:58 · alerta Américas</t>
  </si>
  <si>
    <t>Reunión + VNDR9 · colocación arranca</t>
  </si>
  <si>
    <t>19/08</t>
  </si>
  <si>
    <t>Regla operativa: 71.8% de la venta cae V-S-D → góndolas y 4-ways se surten JUEVES.</t>
  </si>
  <si>
    <t>SELL-THROUGH — qué tan rápido rota lo que ya está en tienda</t>
  </si>
  <si>
    <t>ST% = unidades vendidas en la semana ÷ inventario al inicio. Cobertura = semanas para vaciar el stock actual al ritmo actual. Un portafolio de importación sano ronda 8–15% semanal; hoy la red está en 3.4%.</t>
  </si>
  <si>
    <t>OH inicio (16/08)</t>
  </si>
  <si>
    <t>Venta u 629</t>
  </si>
  <si>
    <t>ST semanal %</t>
  </si>
  <si>
    <t>OH fin (23/08)</t>
  </si>
  <si>
    <t>Cobertura (sem)</t>
  </si>
  <si>
    <t>LENTO</t>
  </si>
  <si>
    <t>CRÍTICO</t>
  </si>
  <si>
    <t>SANO</t>
  </si>
  <si>
    <t>El único ST sano de la red es HB Helles Lager (10.7%) — no modulado, sin capacidad asignada y con vigencia al 10/11. El ítem que mejor rota es el que el sistema está por apagar.</t>
  </si>
  <si>
    <t>Trooper Original: 2.8% de ST con 34 semanas de cobertura. Combinado con la saturación 4.1x (hoja MAX SHELF): no pedir, exhibir y drenar.</t>
  </si>
  <si>
    <t>St Peter's Stout vendió 12 u a Q0.22 promedio — es la liquidación a Q0.25 detectada por el campo en Puerta Parada, no venta real.</t>
  </si>
  <si>
    <t>SELL-IN — lo que Clan factura a la cadena y lo que viene en camino</t>
  </si>
  <si>
    <t>El sell-in granular vive en Odoo/Torre de Control; aquí va el pipeline visible en Retail Link + OCs conocidas + pedidos propuestos.</t>
  </si>
  <si>
    <t>ÓRDENES DE COMPRA CONOCIDAS</t>
  </si>
  <si>
    <t>OC / PO Host</t>
  </si>
  <si>
    <t>Número</t>
  </si>
  <si>
    <t>Emitida</t>
  </si>
  <si>
    <t>Condición</t>
  </si>
  <si>
    <t>Estado al 24/08</t>
  </si>
  <si>
    <t>2401060119</t>
  </si>
  <si>
    <t>105573289</t>
  </si>
  <si>
    <t>Cubrir ítems tipo 03 con outs — condicionada a aplicar NP</t>
  </si>
  <si>
    <t>VERIFICAR: cancelación era 18/08; pipeline actual = 0 sugiere que no viajó</t>
  </si>
  <si>
    <t>2401060120</t>
  </si>
  <si>
    <t>105573290</t>
  </si>
  <si>
    <t>Ídem</t>
  </si>
  <si>
    <t>VERIFICAR: ídem</t>
  </si>
  <si>
    <t>PIPELINE EN RETAIL LINK (tránsito + pedido de tienda)</t>
  </si>
  <si>
    <t>En tránsito (u)</t>
  </si>
  <si>
    <t>En pedido de tienda (u)</t>
  </si>
  <si>
    <t>Total</t>
  </si>
  <si>
    <t>Lectura</t>
  </si>
  <si>
    <t>16/08 (sem 202629)</t>
  </si>
  <si>
    <t>Reposición viajando hacia tiendas con bodega llena</t>
  </si>
  <si>
    <t>23/08 (sem 202630)</t>
  </si>
  <si>
    <t>⚠ CERO en toda la red: la reposición está apagada. Si las OC no aplicaron, nada llega antes de la temporada</t>
  </si>
  <si>
    <t>LLEGADAS FUTURAS CONFIRMADAS (campo)</t>
  </si>
  <si>
    <t>Tienda</t>
  </si>
  <si>
    <t>Unidades</t>
  </si>
  <si>
    <t>WM Roosevelt</t>
  </si>
  <si>
    <t>Sapporo Black 650</t>
  </si>
  <si>
    <t>SELL-IN PROPUESTO (pendiente de aprobación)</t>
  </si>
  <si>
    <t>Concepto</t>
  </si>
  <si>
    <t>Valor estimado</t>
  </si>
  <si>
    <t>Prepedido HB Oktoberfestbier lata (50 cajas)</t>
  </si>
  <si>
    <t>Q 20,000 a PVP</t>
  </si>
  <si>
    <t>Borrador de correo listo — enviar 25/08</t>
  </si>
  <si>
    <t>Prepedido barrilito 5 L — DESCARTADO 24/08</t>
  </si>
  <si>
    <t>Descartado: 16 u en bodega y sin compra en camino; se vende solo lata</t>
  </si>
  <si>
    <t>Pedido A — 6 modulados (modelo)</t>
  </si>
  <si>
    <t>Q 123,398 a costo</t>
  </si>
  <si>
    <t>Hoja Modelo Pedido — frenar Trooper Original</t>
  </si>
  <si>
    <t>Pedido B — 7 no modulados (condicionado a vigencia+capacidad)</t>
  </si>
  <si>
    <t>Q 55,354 a costo</t>
  </si>
  <si>
    <t>Bloqueado por ID 90884</t>
  </si>
  <si>
    <t>Sell-in de referencia de otras cadenas (Torre de Control, W29): La Torre Q 24,432 (660 u) facturado esa semana. El comparativo completo Odoo↔cadenas queda para cuando exista el dato conciliado (A20 de tu Torre).</t>
  </si>
  <si>
    <t>INVENTARIO CLAN — BODEGA (ODOO, API EN VIVO)</t>
  </si>
  <si>
    <t>Conexión xmlrpc a clancervecero.odoo.com · corte 24/08/2026 · 139 SKUs con existencia · 142,949 unidades totales · "disponible" = a mano − reservado</t>
  </si>
  <si>
    <t>A · RESPALDO DE BODEGA PARA EL CATÁLOGO WALMART (13 ítems + temporada)</t>
  </si>
  <si>
    <t>Ítem WM</t>
  </si>
  <si>
    <t>Código Odoo</t>
  </si>
  <si>
    <t>Producto (catálogo)</t>
  </si>
  <si>
    <t>Disponible bodega (u)</t>
  </si>
  <si>
    <t>Venta WM u/sem 629</t>
  </si>
  <si>
    <t>Cobertura bodega (sem)</t>
  </si>
  <si>
    <t>75214930</t>
  </si>
  <si>
    <t>CC-SAP-02</t>
  </si>
  <si>
    <t>SAPPORO PREMIUM SILVER LATA 650 ML</t>
  </si>
  <si>
    <t>La que más creció (+133%): vigilar que bodega acompañe la temporada</t>
  </si>
  <si>
    <t>75437610</t>
  </si>
  <si>
    <t>CC-SAP-03</t>
  </si>
  <si>
    <t>SAPPORO BLACK LATA 650 ML</t>
  </si>
  <si>
    <t>75437614</t>
  </si>
  <si>
    <t>CC-HB-01</t>
  </si>
  <si>
    <t>HOFBRAU HB ORIGINAL BOTELLA 500 ML</t>
  </si>
  <si>
    <t>Solo 9 u: si el modulado repone, no hay respaldo → decidir importación</t>
  </si>
  <si>
    <t>75437616</t>
  </si>
  <si>
    <t>CC-HB-02</t>
  </si>
  <si>
    <t>HOFBRAU HB DUNKEL BOTELLA 500 ML</t>
  </si>
  <si>
    <t>75437621</t>
  </si>
  <si>
    <t>CC-TROO-04</t>
  </si>
  <si>
    <t>TROOPER ORIGINAL LATA 500 ML</t>
  </si>
  <si>
    <t>64 u en bodega PERO tiendas 4.1× sobre capacidad: primero drenar tienda</t>
  </si>
  <si>
    <t>75437623</t>
  </si>
  <si>
    <t>CC-TROOP-03</t>
  </si>
  <si>
    <t>TROOPER FEAR OF THE DARK LATA 500 ML</t>
  </si>
  <si>
    <t>75437612</t>
  </si>
  <si>
    <t>CC-NC-15</t>
  </si>
  <si>
    <t>NORTH COAST SCRIMSHAW LATA 568 ML</t>
  </si>
  <si>
    <t>75437613</t>
  </si>
  <si>
    <t>CC-NC-14</t>
  </si>
  <si>
    <t>NORTH COAST OLD RASPUTIN LATA 568 ML</t>
  </si>
  <si>
    <t>75437615</t>
  </si>
  <si>
    <t>CC-HB-09</t>
  </si>
  <si>
    <t>HOFBRAU HELLES LAGER LATA 500 ML</t>
  </si>
  <si>
    <t>75437617</t>
  </si>
  <si>
    <t>CC-HB-10</t>
  </si>
  <si>
    <t>HOFBRAU SESSION LAGER LATA 500 ML</t>
  </si>
  <si>
    <t>75437618</t>
  </si>
  <si>
    <t>CC-BEL-01</t>
  </si>
  <si>
    <t>BELHAVEN BEST LATA 440 ML</t>
  </si>
  <si>
    <t>75437619</t>
  </si>
  <si>
    <t>CC-BEL-02</t>
  </si>
  <si>
    <t>BELHAVEN BLACK LATA 440 ML</t>
  </si>
  <si>
    <t>75437620</t>
  </si>
  <si>
    <t>CC-BEL-03</t>
  </si>
  <si>
    <t>BELHAVEN MCCALLUMS LATA 440 ML</t>
  </si>
  <si>
    <t>B · TEMPORADA E INNOVACIÓN — ¿la bodega respalda lo que estamos pidiendo?</t>
  </si>
  <si>
    <t>Propuesta</t>
  </si>
  <si>
    <t>Código(s)</t>
  </si>
  <si>
    <t>Uso</t>
  </si>
  <si>
    <t>Disponible (u)</t>
  </si>
  <si>
    <t>HB Oktoberfestbier LATA 500 ml</t>
  </si>
  <si>
    <t>CC-HB-07</t>
  </si>
  <si>
    <t>Reactivación + prepedido 1,000 u</t>
  </si>
  <si>
    <t>3,705</t>
  </si>
  <si>
    <t>Cubre 3.7× el prepedido; alcanza para todo el ciclo si rota como 2024 (2,688 u)</t>
  </si>
  <si>
    <t>Barrilito Oktoberfest 5 L</t>
  </si>
  <si>
    <t>CC-HB-08</t>
  </si>
  <si>
    <t>DESCARTADO del prepedido (24/08)</t>
  </si>
  <si>
    <t>16</t>
  </si>
  <si>
    <t>✖</t>
  </si>
  <si>
    <t>Sin stock (16 u) y sin compra en camino: se vende solo lata. La visibilidad evitó comprometer lo que no podíamos entregar.</t>
  </si>
  <si>
    <t>4-pack Trooper (base FOTD lata)</t>
  </si>
  <si>
    <t>Armado de packs</t>
  </si>
  <si>
    <t>5,901</t>
  </si>
  <si>
    <t>Sobra base para armar packs</t>
  </si>
  <si>
    <t>4-pack Hobgoblin (King Ruby + Gold + IPA)</t>
  </si>
  <si>
    <t>CC-HOB-05/04/01/03</t>
  </si>
  <si>
    <t>4,772</t>
  </si>
  <si>
    <t>1,903 King + 1,228 Ruby + 1,185 Gold + 456 IPA</t>
  </si>
  <si>
    <t>4-pack Hofbräu (Dunkel/Helles/Weisse/Session)</t>
  </si>
  <si>
    <t>CC-HB-02/09/03/10</t>
  </si>
  <si>
    <t>10,933</t>
  </si>
  <si>
    <t>2,912 + 4,296 + 2,209 + 1,516</t>
  </si>
  <si>
    <t>Barril HB Oktoberfestbier 24 L (horeca)</t>
  </si>
  <si>
    <t>BCC-HB-03</t>
  </si>
  <si>
    <t>Fuera de alcance Walmart</t>
  </si>
  <si>
    <t>14</t>
  </si>
  <si>
    <t>Referencia: canal horeca</t>
  </si>
  <si>
    <t>C · HALLAZGOS DE LA CONEXIÓN EN VIVO (24/08)</t>
  </si>
  <si>
    <t>Qué</t>
  </si>
  <si>
    <t>Dato</t>
  </si>
  <si>
    <t>Y entonces</t>
  </si>
  <si>
    <t>Sell-in Walmart/Paiz 2026 (posteado)</t>
  </si>
  <si>
    <t>Q 485,911 · 17,900 u · última factura 03/08</t>
  </si>
  <si>
    <t>Es el 17.7% de la venta total Clan 2026 (Q 2,744,032). 2024-25 viven en el legacy (ya integrado en HISTÓRICO).</t>
  </si>
  <si>
    <t>Factura sin postear</t>
  </si>
  <si>
    <t>S00863 (04/08, ~Q 7.8k sin IVA) está en borrador</t>
  </si>
  <si>
    <t>Postearla: agosto está subestimado en contabilidad</t>
  </si>
  <si>
    <t>Entrega sin facturar</t>
  </si>
  <si>
    <t>S00912 (12/08, Q 9.3k) entregada y sin factura hace 12 días</t>
  </si>
  <si>
    <t>Facturarla: flujo y antigüedad de saldo</t>
  </si>
  <si>
    <t>Refacturación</t>
  </si>
  <si>
    <t>FEL0789 (Q 31.2k) anulada → FEL0791 posteada mismo día</t>
  </si>
  <si>
    <t>OK, solo explica el cuadre vs export del 19/08</t>
  </si>
  <si>
    <t>OCs 105573289/290</t>
  </si>
  <si>
    <t>La referencia de OC del cliente NO se registra en las órdenes de Odoo</t>
  </si>
  <si>
    <t>No se puede rastrear desde Odoo → mantener pregunta a Cristian y empezar a llenar "Referencia de pedido" en cada SO</t>
  </si>
  <si>
    <t>Lotes y vencimientos</t>
  </si>
  <si>
    <t>Odoo NO rastrea lotes (0 quants con lote)</t>
  </si>
  <si>
    <t>Vencimientos siguen viniendo de campo/legacy; activar rastreo por lote sería el cierre definitivo</t>
  </si>
  <si>
    <t>Compras en tránsito</t>
  </si>
  <si>
    <t>0 líneas de compra pendientes de recibir en todo 2026</t>
  </si>
  <si>
    <t>Nada en camino registrado: lo que no está en bodega, no existe para la temporada</t>
  </si>
  <si>
    <t>D · TOP 15 BODEGA GENERAL (contexto del portafolio)</t>
  </si>
  <si>
    <t>Código</t>
  </si>
  <si>
    <t>Producto</t>
  </si>
  <si>
    <t>A mano (u)</t>
  </si>
  <si>
    <t>CC-BM-01</t>
  </si>
  <si>
    <t>CAJA BLUE MOON BELGIAN WHITE</t>
  </si>
  <si>
    <t>CC-LAN-01</t>
  </si>
  <si>
    <t>LANDSHARK LAGER</t>
  </si>
  <si>
    <t>CAJA TROOPER FEAR OF THE DARK LATA</t>
  </si>
  <si>
    <t>CC-GUI-01</t>
  </si>
  <si>
    <t>CAJA GUINNESS DRAUGHT STOUT</t>
  </si>
  <si>
    <t>CAJA HOFBRAU HELLES LAGER</t>
  </si>
  <si>
    <t>CC-TWI-01</t>
  </si>
  <si>
    <t>TWISTED TEA CAN</t>
  </si>
  <si>
    <t>CC-ASA-01</t>
  </si>
  <si>
    <t>ASAHI SUPER DRY BOTELLA</t>
  </si>
  <si>
    <t>HB OKTOBERFESTBIER LATA 500ML</t>
  </si>
  <si>
    <t>CC-GRO-02</t>
  </si>
  <si>
    <t>GROLSCH PREMIUM LAGER LATA 500ML</t>
  </si>
  <si>
    <t>CAJA HOFBRAU DUNKEL</t>
  </si>
  <si>
    <t>CC-MUR-01</t>
  </si>
  <si>
    <t>MURPHYS IRISH STOUT DRAUGHT LATA</t>
  </si>
  <si>
    <t>CC-SNM-001</t>
  </si>
  <si>
    <t>SAN MIGUEL ESPECIAL LATA</t>
  </si>
  <si>
    <t>CC-CAR-01</t>
  </si>
  <si>
    <t>CARLSBERG GREEN</t>
  </si>
  <si>
    <t>CC-SAP-01</t>
  </si>
  <si>
    <t>CAJA SAPPORO RESERVE GOLD LATA</t>
  </si>
  <si>
    <t>CC-SAP-05</t>
  </si>
  <si>
    <t>SAPPORO BOTELLA</t>
  </si>
  <si>
    <t>Cómo se refresca: python + xmlrpc (receta en 9. DATA CHECK). La conexión quedó probada y documentada; credenciales en tu carpeta local .clan-odoo.</t>
  </si>
  <si>
    <t>HISTÓRICO COMPLETO — 112 semanas desde el ingreso (jul-2024 → ago-2026)</t>
  </si>
  <si>
    <t>Fuentes: backfill Retail Link (202423–202515, parquets del repo CANAL MODERNO) + FNS master (202516–202629). Serie continua, sin huecos. Q sin IVA.</t>
  </si>
  <si>
    <t>LA FOTO ANUAL</t>
  </si>
  <si>
    <t>Año</t>
  </si>
  <si>
    <t>Semanas</t>
  </si>
  <si>
    <t>Venta total</t>
  </si>
  <si>
    <t>Promedio semanal</t>
  </si>
  <si>
    <t>vs 2024</t>
  </si>
  <si>
    <t>2024 (desde jul)</t>
  </si>
  <si>
    <t>2025</t>
  </si>
  <si>
    <t>-42%</t>
  </si>
  <si>
    <t>2026 (a ago)</t>
  </si>
  <si>
    <t>-48%</t>
  </si>
  <si>
    <t>El pico del negocio ya existió: Q20,486/semana sostenido en 2024 con ~35 tiendas. Hoy, con 40 tiendas, la mitad. El "techo" del modelo de pedido no es teoría — es historia propia.</t>
  </si>
  <si>
    <t>TEMPORADAS — el mismo calendario, dos ejecuciones</t>
  </si>
  <si>
    <t>Ventana</t>
  </si>
  <si>
    <t>2024 (Q/sem)</t>
  </si>
  <si>
    <t>uplift vs base</t>
  </si>
  <si>
    <t>2025 (Q/sem)</t>
  </si>
  <si>
    <t>Oktoberfest (sep-oct)</t>
  </si>
  <si>
    <t>+63%</t>
  </si>
  <si>
    <t>-31%</t>
  </si>
  <si>
    <t>Bien ejecutada renta +63%; rota, rinde negativo</t>
  </si>
  <si>
    <t>Halloween (oct-nov)</t>
  </si>
  <si>
    <t>+56%</t>
  </si>
  <si>
    <t>-26%</t>
  </si>
  <si>
    <t>Navidad (nov-dic)</t>
  </si>
  <si>
    <t>+68%</t>
  </si>
  <si>
    <t>-13%</t>
  </si>
  <si>
    <t>La mejor ventana del año</t>
  </si>
  <si>
    <t>TOTAL sep-dic</t>
  </si>
  <si>
    <t>Q 410,613</t>
  </si>
  <si>
    <t>Q 132,259</t>
  </si>
  <si>
    <t>Q 278k dejados sobre la mesa en 2025</t>
  </si>
  <si>
    <t>Mix de temporada (sep-oct): Sapporo 56–61% de la venta las dos veces — el protagonista. Trooper cayó de 15.9% (2024) a 5.9% (2025).</t>
  </si>
  <si>
    <t>BENCHMARK OKTOBERFEST — la venta real del ciclo pasado</t>
  </si>
  <si>
    <t>Venta</t>
  </si>
  <si>
    <t>Tiendas</t>
  </si>
  <si>
    <t>PVP</t>
  </si>
  <si>
    <t>Timing</t>
  </si>
  <si>
    <t>HB Oktoberfest LATA (75273066)</t>
  </si>
  <si>
    <t>Q 20.8</t>
  </si>
  <si>
    <t>Entró TARDE: vendió dic-24 → mar-25</t>
  </si>
  <si>
    <t>HB Oktober BARRIL (75273067)</t>
  </si>
  <si>
    <t>Q 250</t>
  </si>
  <si>
    <t>Ídem; 10 u/tienda promedio</t>
  </si>
  <si>
    <t>75437611 (código nuevo, a reactivar)</t>
  </si>
  <si>
    <t>Remanentes feb-mar 2026: el ítem existe y responde</t>
  </si>
  <si>
    <t>Implicación directa para el prepedido: aun entrando en DICIEMBRE, la lata vendió 2,688 u y el barril facturó Q30k a Q250. El prepedido de 1,000 u + 56 barrilitos con entrada 12/09 es conservador; el potencial de ciclo completo es 2,500–3,000 latas.</t>
  </si>
  <si>
    <t>SELL-IN CLAN → WALMART (Odoo, "Operadora de Tiendas S.A.", con IVA)</t>
  </si>
  <si>
    <t>Facturado</t>
  </si>
  <si>
    <t>2024</t>
  </si>
  <si>
    <t>año de entrada — el mejor</t>
  </si>
  <si>
    <t>-19%</t>
  </si>
  <si>
    <t>2026 YTD (jul)</t>
  </si>
  <si>
    <t>fuente: legacy Odoo 29/07</t>
  </si>
  <si>
    <t>sep-25 → ago-26</t>
  </si>
  <si>
    <t>parquet Odoo 19/08 · Walmart = 18% de la facturación total de Clan</t>
  </si>
  <si>
    <t>SERIE SEMANAL COMPLETA (base del gráfico y de cualquier análisis)</t>
  </si>
  <si>
    <t>Semana</t>
  </si>
  <si>
    <t>Inicio</t>
  </si>
  <si>
    <t>Venta Q</t>
  </si>
  <si>
    <t>Combos c/venta</t>
  </si>
  <si>
    <t>2024-07-01</t>
  </si>
  <si>
    <t>2024-07-06</t>
  </si>
  <si>
    <t>2024-07-13</t>
  </si>
  <si>
    <t>2024-07-20</t>
  </si>
  <si>
    <t>2024-07-27</t>
  </si>
  <si>
    <t>2024-08-03</t>
  </si>
  <si>
    <t>2024-08-10</t>
  </si>
  <si>
    <t>2024-08-17</t>
  </si>
  <si>
    <t>2024-08-24</t>
  </si>
  <si>
    <t>2024-08-31</t>
  </si>
  <si>
    <t>2024-09-07</t>
  </si>
  <si>
    <t>2024-09-14</t>
  </si>
  <si>
    <t>2024-09-21</t>
  </si>
  <si>
    <t>2024-09-28</t>
  </si>
  <si>
    <t>2024-10-05</t>
  </si>
  <si>
    <t>2024-10-12</t>
  </si>
  <si>
    <t>2024-10-19</t>
  </si>
  <si>
    <t>2024-10-26</t>
  </si>
  <si>
    <t>2024-11-02</t>
  </si>
  <si>
    <t>2024-11-09</t>
  </si>
  <si>
    <t>2024-11-16</t>
  </si>
  <si>
    <t>2024-11-23</t>
  </si>
  <si>
    <t>2024-11-30</t>
  </si>
  <si>
    <t>2024-12-07</t>
  </si>
  <si>
    <t>2024-12-14</t>
  </si>
  <si>
    <t>2024-12-21</t>
  </si>
  <si>
    <t>2024-12-28</t>
  </si>
  <si>
    <t>2025-01-04</t>
  </si>
  <si>
    <t>2025-01-11</t>
  </si>
  <si>
    <t>2025-01-18</t>
  </si>
  <si>
    <t>2025-01-25</t>
  </si>
  <si>
    <t>2025-02-01</t>
  </si>
  <si>
    <t>2025-02-08</t>
  </si>
  <si>
    <t>2025-02-15</t>
  </si>
  <si>
    <t>2025-02-22</t>
  </si>
  <si>
    <t>2025-03-01</t>
  </si>
  <si>
    <t>2025-03-08</t>
  </si>
  <si>
    <t>2025-03-15</t>
  </si>
  <si>
    <t>2025-03-22</t>
  </si>
  <si>
    <t>2025-03-29</t>
  </si>
  <si>
    <t>2025-04-05</t>
  </si>
  <si>
    <t>2025-04-12</t>
  </si>
  <si>
    <t>2025-04-19</t>
  </si>
  <si>
    <t>2025-04-26</t>
  </si>
  <si>
    <t>2025-05-03</t>
  </si>
  <si>
    <t>2025-05-10</t>
  </si>
  <si>
    <t>2025-05-17</t>
  </si>
  <si>
    <t>2025-05-24</t>
  </si>
  <si>
    <t>2025-05-31</t>
  </si>
  <si>
    <t>2025-06-07</t>
  </si>
  <si>
    <t>2025-06-14</t>
  </si>
  <si>
    <t>2025-06-21</t>
  </si>
  <si>
    <t>2025-06-28</t>
  </si>
  <si>
    <t>2025-07-05</t>
  </si>
  <si>
    <t>2025-07-12</t>
  </si>
  <si>
    <t>2025-07-19</t>
  </si>
  <si>
    <t>2025-07-26</t>
  </si>
  <si>
    <t>2025-08-02</t>
  </si>
  <si>
    <t>2025-08-09</t>
  </si>
  <si>
    <t>2025-08-16</t>
  </si>
  <si>
    <t>2025-08-23</t>
  </si>
  <si>
    <t>2025-08-30</t>
  </si>
  <si>
    <t>2025-09-06</t>
  </si>
  <si>
    <t>2025-09-13</t>
  </si>
  <si>
    <t>2025-09-20</t>
  </si>
  <si>
    <t>2025-09-27</t>
  </si>
  <si>
    <t>2025-10-04</t>
  </si>
  <si>
    <t>2025-10-11</t>
  </si>
  <si>
    <t>2025-10-18</t>
  </si>
  <si>
    <t>2025-10-25</t>
  </si>
  <si>
    <t>2025-11-01</t>
  </si>
  <si>
    <t>2025-11-08</t>
  </si>
  <si>
    <t>2025-11-15</t>
  </si>
  <si>
    <t>2025-11-22</t>
  </si>
  <si>
    <t>2025-11-29</t>
  </si>
  <si>
    <t>2025-12-06</t>
  </si>
  <si>
    <t>2025-12-13</t>
  </si>
  <si>
    <t>2025-12-20</t>
  </si>
  <si>
    <t>2025-12-27</t>
  </si>
  <si>
    <t>2026-01-03</t>
  </si>
  <si>
    <t>2026-01-10</t>
  </si>
  <si>
    <t>2026-01-17</t>
  </si>
  <si>
    <t>2026-01-24</t>
  </si>
  <si>
    <t>2026-01-31</t>
  </si>
  <si>
    <t>2026-02-07</t>
  </si>
  <si>
    <t>2026-02-14</t>
  </si>
  <si>
    <t>2026-02-21</t>
  </si>
  <si>
    <t>2026-02-28</t>
  </si>
  <si>
    <t>2026-03-07</t>
  </si>
  <si>
    <t>2026-03-14</t>
  </si>
  <si>
    <t>2026-03-21</t>
  </si>
  <si>
    <t>2026-03-28</t>
  </si>
  <si>
    <t>2026-04-04</t>
  </si>
  <si>
    <t>2026-04-11</t>
  </si>
  <si>
    <t>2026-04-18</t>
  </si>
  <si>
    <t>2026-04-25</t>
  </si>
  <si>
    <t>2026-05-02</t>
  </si>
  <si>
    <t>2026-05-09</t>
  </si>
  <si>
    <t>2026-05-16</t>
  </si>
  <si>
    <t>2026-05-23</t>
  </si>
  <si>
    <t>2026-05-30</t>
  </si>
  <si>
    <t>2026-06-06</t>
  </si>
  <si>
    <t>2026-06-13</t>
  </si>
  <si>
    <t>2026-06-20</t>
  </si>
  <si>
    <t>2026-06-27</t>
  </si>
  <si>
    <t>2026-07-04</t>
  </si>
  <si>
    <t>2026-07-11</t>
  </si>
  <si>
    <t>2026-07-18</t>
  </si>
  <si>
    <t>2026-07-25</t>
  </si>
  <si>
    <t>2026-08-01</t>
  </si>
  <si>
    <t>2026-08-08</t>
  </si>
  <si>
    <t>2026-08-15</t>
  </si>
  <si>
    <t>CAPACIDAD DE GÓNDOLA — respuesta de Cristian, correo 18/08 "MAX SHELF O CAPACIDAD DE GONDOLA"</t>
  </si>
  <si>
    <t>Formato VNDR9 (Libro9.xlsx). Confirma la hipótesis de la reunión: los 6 modulados (tipo 33) tienen MAX_SHELF asignado; los 7 no modulados (tipo 03, aprov "OTRO") tienen MAX_SHELF = 0 en el 100% de sus filas.</t>
  </si>
  <si>
    <t>Filas VNDR9</t>
  </si>
  <si>
    <t>Capacidad total red (u)</t>
  </si>
  <si>
    <t>Capacidad prom/tienda</t>
  </si>
  <si>
    <t>Tiendas con shelf 0</t>
  </si>
  <si>
    <t>Existencia red 202630 (u)</t>
  </si>
  <si>
    <t>Saturación (OH ÷ capacidad)</t>
  </si>
  <si>
    <t>SAPPORO PREMIUM SILVER LATA 650</t>
  </si>
  <si>
    <t>Sana: cabe todo lo que hay</t>
  </si>
  <si>
    <t>SAPPORO BLACK LATA 650</t>
  </si>
  <si>
    <t>HB ORIGINAL BOTELLA 500</t>
  </si>
  <si>
    <t>Leve exceso (1.2x)</t>
  </si>
  <si>
    <t>HB DUNKEL BOTELLA 500</t>
  </si>
  <si>
    <t>2.1x: mitad del stock no tiene dónde exhibirse</t>
  </si>
  <si>
    <t>TROOPER ORIGINAL LATA 500</t>
  </si>
  <si>
    <t>4.1x: la góndola solo absorbe el 25% del stock. El resto vive en bodega POR DISEÑO</t>
  </si>
  <si>
    <t>TROOPER FEAR OF THE DARK LATA 500</t>
  </si>
  <si>
    <t>Ajustada 1.0x — ojo: 6 tiendas con shelf 0 (Novicentro, Utatlán, Montblanc, S.Pacífico, Cobán, Liberación)</t>
  </si>
  <si>
    <t>LOS 7 NO MODULADOS (Helles, Session, Scrimshaw, Old Rasputin, 3 Belhaven): aparecen en VNDR9 con tipo 03, aprovisionamiento "OTRO" y MAX_SHELF = 0 en todas las tiendas. Sin capacidad, la reposición automática no dispara jamás: quiebre estructural, no operativo. Coincide con lo que reportó el campo (Mega 6: estatus BORRADO; San Lucas: "sin modular").</t>
  </si>
  <si>
    <t>MODULADOS CON HUECOS: Trooper Original con shelf 0 / aprov OTRO en Mega 6 (96 u en tienda, maestro local "NO TRT") y Huehuetenango. Trooper FOTD con shelf 0 en 6 tiendas Paiz. HB Original y Dunkel con aprov OTRO en Cobán — y Cobán reporta esos mismos SKU en liquidación. El VNDR9 y el campo cuentan la misma historia.</t>
  </si>
  <si>
    <t>TROOPER ORIGINAL, EL CASO DE FONDO: capacidad de red 645 u contra 2,617 en tiendas (4.1x). Aunque los mercaderistas llenen cada frente, 3 de cada 4 latas no tienen dónde exhibirse. Esto no se arregla colocando: se arregla con más frentes (modular de octubre) o frenando compra (ya está en sobre-stock en el modelo de pedido).</t>
  </si>
  <si>
    <t>MODELO DE PEDIDO — solo los 13 ítems activos</t>
  </si>
  <si>
    <t>Los 8 ítems inactivos NO se pueden pedir: van a liquidación (ver hoja Liquidación). Supuestos en Resumen!D8:D11.</t>
  </si>
  <si>
    <t>Verde = modulado (espacio permanente, sin vencimiento). Ámbar = no modulado (depende de nota prioritaria y tiene vencimiento).</t>
  </si>
  <si>
    <t>Descripción de catálogo</t>
  </si>
  <si>
    <t>Expira</t>
  </si>
  <si>
    <t>Stock (u)</t>
  </si>
  <si>
    <t>Tasa obs. (u/tda/sem)</t>
  </si>
  <si>
    <t>Demanda/sem (u)</t>
  </si>
  <si>
    <t>Demanda horizonte (u)</t>
  </si>
  <si>
    <t>Stock seg. (u)</t>
  </si>
  <si>
    <t>Necesidad (u)</t>
  </si>
  <si>
    <t>SUGERIDO (u)</t>
  </si>
  <si>
    <t>Costo unit.</t>
  </si>
  <si>
    <t>SUGERIDO (Q costo)</t>
  </si>
  <si>
    <t>Perdida/sem (Q)</t>
  </si>
  <si>
    <t>10/11/2026</t>
  </si>
  <si>
    <t>02/09/2026</t>
  </si>
  <si>
    <t>SUBTOTAL MODULADOS — pedido ejecutable sin condición</t>
  </si>
  <si>
    <t>SUBTOTAL NO MODULADOS — pedido CONDICIONADO a extender vigencia</t>
  </si>
  <si>
    <t>TOTAL 13 ÍTEMS ACTIVOS</t>
  </si>
  <si>
    <t>Lectura del semáforo: SOBRE-STOCK = el stock ya en tienda cubre más que todo el horizonte; pedir ahí financia inventario muerto. REPONER YA = menos de 4 semanas de cobertura. SIN TASA = no vendió en ninguna tienda, no hay base para calcular.</t>
  </si>
  <si>
    <t>Los 5 ítems con vencimiento 02/09/2026 no deben pedirse hasta que la vigencia esté extendida vía formulario de ítems temporales, aunque el modelo calcule un sugerido.</t>
  </si>
  <si>
    <t>Correlación exacta que vale notar: los 6 modulados no tienen fecha de vencimiento; los 7 no modulados la tienen todos. Ser no modulado y ser temporal es lo mismo en este catálogo.</t>
  </si>
  <si>
    <t>PREPEDIDO HB OKTOBERFESTBIER — reactivación de los 2 ítems + 4-way de temporada</t>
  </si>
  <si>
    <t>Ítem YA EXISTE inactivo (LATA): es reactivación, no alta nueva. Barrilito 5 L DESCARTADO del prepedido el 24/08 (16 u en bodega, sin compra en camino).</t>
  </si>
  <si>
    <t>SUPUESTOS</t>
  </si>
  <si>
    <t>Tiendas con lata (toda la red)</t>
  </si>
  <si>
    <t>Cajas por tienda — lata (WHPK 20 u)</t>
  </si>
  <si>
    <t>arranque conservador; se repone con venta</t>
  </si>
  <si>
    <t>Reserva para 4-ways y AAA (u)</t>
  </si>
  <si>
    <t>Tiendas AAA con barrilito 5 L — descartado</t>
  </si>
  <si>
    <t>las de la Ola 1</t>
  </si>
  <si>
    <t>Barrilitos por tienda AAA</t>
  </si>
  <si>
    <t>PVP lata (punto de precio Max: múltiplos de Q5)</t>
  </si>
  <si>
    <t>venta directa actual comprobada: Q25 (Recurrente, 16/08)</t>
  </si>
  <si>
    <t>Semanas de ventana (12/09 → 04/10 + cola)</t>
  </si>
  <si>
    <t>CÁLCULO</t>
  </si>
  <si>
    <t>Lata — pedido inicial (u)</t>
  </si>
  <si>
    <t>Lata — cajas de 20</t>
  </si>
  <si>
    <t>Lata — venta requerida para agotar (u/tienda/semana)</t>
  </si>
  <si>
    <t>Referencia: tasa observada HB Helles donde rota (u/tda/sem)</t>
  </si>
  <si>
    <t>Barrilito 5 L — DESCARTADO 24/08</t>
  </si>
  <si>
    <t>Sin stock (16 u) ni compra en camino: no llega al 12/09. Reevaluar para Navidad si se importa.</t>
  </si>
  <si>
    <t>Ingreso potencial lata a PVP (Q)</t>
  </si>
  <si>
    <t>4-WAY DE TEMPORADA — 14 tiendas Ola 1</t>
  </si>
  <si>
    <t>Cara</t>
  </si>
  <si>
    <t>SKU</t>
  </si>
  <si>
    <t>Unidades por cara (aprox)</t>
  </si>
  <si>
    <t>HB Oktoberfestbier lata 500 ml</t>
  </si>
  <si>
    <t>Protagonista hasta el 4/10; después rota a Halloween</t>
  </si>
  <si>
    <t>HB Helles Lager lata 500 ml</t>
  </si>
  <si>
    <t>Mejor ejecución del portafolio (48%); REQUIERE extender vigencia (10/11) y asignarle capacidad</t>
  </si>
  <si>
    <t>4-pack Trooper (troquel final listo)</t>
  </si>
  <si>
    <t>Priorizar aquí el lote FOTD que vence dic-2026 (66 u documentadas)</t>
  </si>
  <si>
    <t>4-pack Hobgoblin Halloween (troquel final listo)</t>
  </si>
  <si>
    <t>Del 1/10 en adelante; antes, Sapporo Black como cuarta cara</t>
  </si>
  <si>
    <t>TOTAL por 4-way ≈ 180 u · 14 tiendas ≈ 2,520 u en exhibición adicional</t>
  </si>
  <si>
    <t>Regla de reposición: el 71.8% de la venta cae viernes-sábado-domingo (curva del reporte 113344554). El 4-way se surte JUEVES, sin excepción.</t>
  </si>
  <si>
    <t>Specs logísticos (VNDR9/Retail Link): lata 500 ml = 20 u/caja, 24 cajas/cama, 6 camas/tarima (2,880 u). El pedido inicial de 1,000 u de Oktoberfestbier = ~50 cajas ≈ 2 camas.</t>
  </si>
  <si>
    <t>CONDICIÓN PREVIA: reactivar la LATA y asignarle MAX_SHELF &gt; 0. Un ítem reactivado sin capacidad no repone (la lección de los 7 no modulados).</t>
  </si>
  <si>
    <t>RESPALDO DE BODEGA (Odoo en vivo, 24/08)</t>
  </si>
  <si>
    <t>Bodega Clan</t>
  </si>
  <si>
    <t>3,705 u disponibles</t>
  </si>
  <si>
    <t>Cubre 3.7× el prepedido de 1,000 → sin riesgo de fill rate</t>
  </si>
  <si>
    <t>16 u disponibles</t>
  </si>
  <si>
    <t>Descartado del prepedido 24/08: se vende SOLO lata. Reevaluar si se importa (Navidad).</t>
  </si>
  <si>
    <t>LIQUIDACIÓN — 8 ítems inactivos que no se pueden pedir</t>
  </si>
  <si>
    <t>Son los ítems con existencia en tienda que no aparecen en el listado de catálogo activo (6 modulados + 7 no modulados).</t>
  </si>
  <si>
    <t>Combos</t>
  </si>
  <si>
    <t>Valor a costo</t>
  </si>
  <si>
    <t>Venta semana (u)</t>
  </si>
  <si>
    <t>Venta semana (Q)</t>
  </si>
  <si>
    <t>Combos sin venta</t>
  </si>
  <si>
    <t>En NP como "ítem a sustituir"</t>
  </si>
  <si>
    <t>Sí</t>
  </si>
  <si>
    <t>TOTAL A LIQUIDAR</t>
  </si>
  <si>
    <t>Nota crítica: estos 8 ítems generaron Q 1,540 de venta en la semana — el 15% de la venta total del portafolio. Ese ingreso desaparece al liquidarlos. La compensación tiene que venir de los 13 activos, y hoy están al 26% de ejecución en piso.</t>
  </si>
  <si>
    <t>ESPACIO A LIBERAR POR TIENDA</t>
  </si>
  <si>
    <t>Combos inactivos</t>
  </si>
  <si>
    <t>VENCIMIENTOS — los 7 ítems no modulados</t>
  </si>
  <si>
    <t>Los 6 ítems nuevos de la NP publicada el 17/08 que expiran el 02/09/2026, más HB Helles Lager (10/11/2026).</t>
  </si>
  <si>
    <t>Correlación exacta: ningún modulado tiene vencimiento; los 7 no modulados lo tienen todos. Verificar con Max si es vigencia de ítem temporal o fecha de consumo — en ambos casos hay que actuar antes del 02/09.</t>
  </si>
  <si>
    <t>Días restantes</t>
  </si>
  <si>
    <t>Valor en riesgo</t>
  </si>
  <si>
    <t>Venta sem. (u)</t>
  </si>
  <si>
    <t>Semanas para agotar</t>
  </si>
  <si>
    <t>Sugerido si se extiende (u)</t>
  </si>
  <si>
    <t>Consecuencia: los 40+ mercaderistas van a colocar en góndola 7 ítems que dependen de nota prioritaria para tener espacio, y 6 de ellos se inactivan en 16 días — justo antes del modular de octubre. Sin extensión de vigencia, el esfuerzo se evapora.</t>
  </si>
  <si>
    <t>Pendiente relacionado que Walmart arrastra desde el 04/06/2026: "Falta Form de temporales — ID 90884".</t>
  </si>
  <si>
    <t>PROYECTO MERCADERISTAS — estado, equipo y cobertura</t>
  </si>
  <si>
    <t>Arrancó 12/08 (grupo WhatsApp, 24 miembros). El detalle por tienda está en "Campo v2"; la línea base del 14/08 en "Verificación Campo"; el formato estándar en "Plantilla Mercaderistas".</t>
  </si>
  <si>
    <t>TERMÓMETRO DEL PROYECTO</t>
  </si>
  <si>
    <t>Tiendas con reporte</t>
  </si>
  <si>
    <t>de 40 — 43% de cobertura en 10 días</t>
  </si>
  <si>
    <t>Reportes de inventario completos (20 SKU)</t>
  </si>
  <si>
    <t>VN×2, Pradera, Liberación, V.Hermosa, S.Lucas, S.Cristóbal, Roosevelt, Pacific, Mega 6</t>
  </si>
  <si>
    <t>Tiendas con evidencia fotográfica</t>
  </si>
  <si>
    <t>archivo VISUAL ANTES Y DESPUÉS (52 fotos en WhatsApp)</t>
  </si>
  <si>
    <t>Mercaderistas reportando</t>
  </si>
  <si>
    <t>+ 4 de coordinación (Pablo R, Victor Hugo, Marleny, Dayana)</t>
  </si>
  <si>
    <t>Formatos distintos en uso</t>
  </si>
  <si>
    <t>→ estandarizar con la Plantilla (hoja 16)</t>
  </si>
  <si>
    <t>Códigos mal digitados detectados</t>
  </si>
  <si>
    <t>75124932 ×3, 75234433, 73437616, espacios/puntos ×2</t>
  </si>
  <si>
    <t>Brecha de datos</t>
  </si>
  <si>
    <t>18/08 14:01 → 20/08 19:02 (relink WhatsApp Web) — exportar chat del teléfono</t>
  </si>
  <si>
    <t>EQUIPO EN CAMPO</t>
  </si>
  <si>
    <t>Mercaderista</t>
  </si>
  <si>
    <t>Teléfono</t>
  </si>
  <si>
    <t>Reportes</t>
  </si>
  <si>
    <t>Calidad del formato</t>
  </si>
  <si>
    <t>Marisela De León</t>
  </si>
  <si>
    <t>+502 4814 5239</t>
  </si>
  <si>
    <t>Liberación, V.Hermosa (×2), Pradera, Américas</t>
  </si>
  <si>
    <t>Bueno — vencimientos; código Sapporo Gold mal ×3</t>
  </si>
  <si>
    <t>Ross Barrios</t>
  </si>
  <si>
    <t>+502 5848 1051</t>
  </si>
  <si>
    <t>San Cristóbal</t>
  </si>
  <si>
    <t>EL MEJOR: sistema+físico+venc+llegadas+modulación</t>
  </si>
  <si>
    <t>Elizabeth</t>
  </si>
  <si>
    <t>+502 3090 2543</t>
  </si>
  <si>
    <t>San Lucas</t>
  </si>
  <si>
    <t>Muy bueno: precios+modulación+góndola</t>
  </si>
  <si>
    <t>Daya</t>
  </si>
  <si>
    <t>+502 4318 9092</t>
  </si>
  <si>
    <t>P.Naranjo, WM Naranjo, Utatlán</t>
  </si>
  <si>
    <t>Bueno; 4 campos ilegibles en WM Naranjo</t>
  </si>
  <si>
    <t>(sin nombre)</t>
  </si>
  <si>
    <t>+502 5846 2159</t>
  </si>
  <si>
    <t>Villa Nueva (×2), Pacific Center</t>
  </si>
  <si>
    <t>Bueno — físico vs sistema</t>
  </si>
  <si>
    <t>Victor Hugo (supervisor)</t>
  </si>
  <si>
    <t>+502 5213 8334</t>
  </si>
  <si>
    <t>Roosevelt</t>
  </si>
  <si>
    <t>Muy bueno: estado logístico de reempaques</t>
  </si>
  <si>
    <t>Zetino</t>
  </si>
  <si>
    <t>+502 5498 9079</t>
  </si>
  <si>
    <t>Puerta Parada, Pinula</t>
  </si>
  <si>
    <t>Cualitativo — pedir formato estándar</t>
  </si>
  <si>
    <t>Eduardo Yat</t>
  </si>
  <si>
    <t>+502 5509 1347</t>
  </si>
  <si>
    <t>Cobán (×2)</t>
  </si>
  <si>
    <t>Visibilidad; falta inventario numérico</t>
  </si>
  <si>
    <t>Cinthya</t>
  </si>
  <si>
    <t>+502 3949 0174</t>
  </si>
  <si>
    <t>Huehuetenango</t>
  </si>
  <si>
    <t>Bloqueada por inventario general</t>
  </si>
  <si>
    <t>+502 5151 0119</t>
  </si>
  <si>
    <t>Mega 6</t>
  </si>
  <si>
    <t>ÚNICO que reporta estatus de maestro (BORRADO)</t>
  </si>
  <si>
    <t>SIN REPORTE AÚN: Paiz Chiquimula (Jr Sucely Guerra, senior Gladys Díaz). Tiendas de la Ola 1 sin tocar: revisar contra hoja Prioridad Tiendas.</t>
  </si>
  <si>
    <t>QUÉ MEDIR CADA SEMANA: 1) físico en góndola ÷ sistema por tienda (meta 60% Ola 1); 2) tiendas visitadas; 3) fotos antes/después; 4) hallazgos escalados y cerrados. El corte serio del uplift: semana 202631 (dos semanas completas de colocación).</t>
  </si>
  <si>
    <t>VERIFICACIÓN DE CAMPO v2 — 14 al 24 de agosto, 17 tiendas, 67 mensajes</t>
  </si>
  <si>
    <t>Fuente: grupo WhatsApp "CLAN CERVECERO WM-PAIZ" (24 miembros). Brecha de datos: 18/08 14:01 → 20/08 19:02 no recuperable (relink de WhatsApp Web); exportar chat del teléfono para cerrar.</t>
  </si>
  <si>
    <t>Sistema (u)</t>
  </si>
  <si>
    <t>Físico (u)</t>
  </si>
  <si>
    <t>Brecha</t>
  </si>
  <si>
    <t>Hallazgo principal</t>
  </si>
  <si>
    <t>WM Villa Nueva</t>
  </si>
  <si>
    <t>19 de 20 SKU sin físico; "ordenando bodegas"</t>
  </si>
  <si>
    <t>WM Villa Nueva (reconteo)</t>
  </si>
  <si>
    <t>Solo 43 u recuperadas en 7 días (17%); 7 SKU siguen igual</t>
  </si>
  <si>
    <t>4 SKU con campo ilegible; St Peter's Suffolk 28 u EN ÁREA DE MERMA; sin reconteo desde el 18</t>
  </si>
  <si>
    <t>Paiz Utatlán</t>
  </si>
  <si>
    <t>Mercaderista colocó 3 SKU fuera de plano en espacio adicional → venta +56%/día</t>
  </si>
  <si>
    <t>Paiz San Cristóbal</t>
  </si>
  <si>
    <t>El más completo; único sobrante físico de la red (Trooper +2); 29 u "se están buscando"</t>
  </si>
  <si>
    <t>Punto más grande de la red. Cuadra 100% PERO 135 u inmovilizadas en reempaques desde modulación ~05/08. Única llegada futura: Sapporo Black 20 u el 12/09</t>
  </si>
  <si>
    <t>Paiz Liberación</t>
  </si>
  <si>
    <t>11 de 20 SKU en cero</t>
  </si>
  <si>
    <t>Paiz Vista Hermosa</t>
  </si>
  <si>
    <t>Trooper Original 94 u (5x promedio, validar); ajuste pendiente Helles 20 u</t>
  </si>
  <si>
    <t>Paiz Pradera</t>
  </si>
  <si>
    <t>Vencimientos físicos 2027-2028 anotados; 3 SKU en liquidación</t>
  </si>
  <si>
    <t>Paiz San Lucas</t>
  </si>
  <si>
    <t>Reporte con precios y modulación; pidió NP para Helles y 3 Belhaven ("sin modular")</t>
  </si>
  <si>
    <t>CRÍTICO: planograma nuevo SIN la marca. Escalado; sin respuesta 7 días después</t>
  </si>
  <si>
    <t>WM Puerta Parada</t>
  </si>
  <si>
    <t>Solo 4 presentaciones en piso; liquidaciones a Q0.25</t>
  </si>
  <si>
    <t>Paiz Pacific Center</t>
  </si>
  <si>
    <t>Trooper FOTD vence 31/12/2026 (10 u) y ya liquidado — lote más crítico</t>
  </si>
  <si>
    <t>Paiz Mega 6</t>
  </si>
  <si>
    <t>GRAVE: 12 de 18 SKU "BORRADO" en maestro de tienda; solo 3 ACTIVO; Sapporo Black y Trooper Orig "NO TRT" con 60 u</t>
  </si>
  <si>
    <t>Paiz Cobán</t>
  </si>
  <si>
    <t>21-22/08</t>
  </si>
  <si>
    <t>Colocado, rotulado, limpieza hecha; 3 SKU en liquidación (Sapporo Gold, Münchner, Dunkel)</t>
  </si>
  <si>
    <t>Paiz Huehuetenango</t>
  </si>
  <si>
    <t>PRODUCTO VENCIDO en sala, SKU sin identificar. Escalado a Jelver Miranda GSP</t>
  </si>
  <si>
    <t>LOTE CORTO TROOPER (vence dic-2026, del archivo VISUAL ANTES Y DESPUÉS + campo): Pacific Center FOTD 10 u (31/12), Aguilar Batres FOTD 15 u (09/12), Paiz Naranjo FOTD 17 u (31/12), Santa Amelia FOTD 19 u (31/12), Novicentro Trooper Original 5 u (25/12). Total documentado: 66 u a rotar antes de diciembre — priorizarlas en el 4-way / exhibición de temporada.</t>
  </si>
  <si>
    <t>Belhaven y Hobgoblin: cero existencia en 13 tiendas consecutivas evaluadas. Con MAX_SHELF=0 y estatus BORRADO, es baja de surtido de facto, no quiebre.</t>
  </si>
  <si>
    <t>VERIFICACIÓN DE CAMPO — conteos de mercaderistas del 14/08/2026</t>
  </si>
  <si>
    <t>Los dos conteos son del 14/08; la Nota Prioritaria se publicó el 17/08. Estos reportes son la LÍNEA BASE, no el efecto de la corrección.</t>
  </si>
  <si>
    <t>Fuente: grupo WhatsApp "CLAN CERVECERO WM-PAIZ". Columna Sistema RL = Retail Link, snapshot 16/08.</t>
  </si>
  <si>
    <t>WALMART VILLA NUEVA (tienda 414)</t>
  </si>
  <si>
    <t>Físico 14/08</t>
  </si>
  <si>
    <t>Sistema (mercaderista)</t>
  </si>
  <si>
    <t>Sistema RL 16/08</t>
  </si>
  <si>
    <t>Δ sistema RL vs merc.</t>
  </si>
  <si>
    <t>Nota del mercaderista</t>
  </si>
  <si>
    <t>Belhaven Best Lata</t>
  </si>
  <si>
    <t>Belhaven Black Lata</t>
  </si>
  <si>
    <t>Belhaven McCallums</t>
  </si>
  <si>
    <t>(no en RL)</t>
  </si>
  <si>
    <t>Hobgoblin Gold 500</t>
  </si>
  <si>
    <t>Hobgoblin Ruby 500</t>
  </si>
  <si>
    <t>Hobgoblin Stout 500</t>
  </si>
  <si>
    <t>HB Dunkel 500 ML</t>
  </si>
  <si>
    <t>HB Helles Lager Lata</t>
  </si>
  <si>
    <t>Se estan buscando</t>
  </si>
  <si>
    <t>HB Munchner 500 ML</t>
  </si>
  <si>
    <t>HB Original 500 ML</t>
  </si>
  <si>
    <t>HB Session Lata</t>
  </si>
  <si>
    <t>NC Old Rasputin Lata</t>
  </si>
  <si>
    <t>NC Scrimshaw Lata</t>
  </si>
  <si>
    <t>Sapporo Black 650 ML</t>
  </si>
  <si>
    <t>Sapporo Gold 650 ML</t>
  </si>
  <si>
    <t>Sapporo Silver 650 ML</t>
  </si>
  <si>
    <t>St. Peter's Stout 500</t>
  </si>
  <si>
    <t>St. Peter's Suffolk 500</t>
  </si>
  <si>
    <t>Fisico y sistema en cero</t>
  </si>
  <si>
    <t>Trooper FOTD 500 ML</t>
  </si>
  <si>
    <t>Trooper Original Lata</t>
  </si>
  <si>
    <t>TOTAL VILLA NUEVA</t>
  </si>
  <si>
    <t>% del sistema que SÍ está en piso</t>
  </si>
  <si>
    <t>← contra sistema Retail Link</t>
  </si>
  <si>
    <t>SKUs con físico cero</t>
  </si>
  <si>
    <t>PAIZ PRADERA (tienda 108)</t>
  </si>
  <si>
    <t>Δ físico vs sistema</t>
  </si>
  <si>
    <t>Vencimiento físico</t>
  </si>
  <si>
    <t>Estado reportado</t>
  </si>
  <si>
    <t>sin dato</t>
  </si>
  <si>
    <t>liquidacion</t>
  </si>
  <si>
    <t>2027-06-30</t>
  </si>
  <si>
    <t>2027-12-31</t>
  </si>
  <si>
    <t>2027-12-20</t>
  </si>
  <si>
    <t>2027-12-25</t>
  </si>
  <si>
    <t>2028-07-31</t>
  </si>
  <si>
    <t>2027-02-20</t>
  </si>
  <si>
    <t>TOTAL PAIZ PRADERA</t>
  </si>
  <si>
    <t>COMPARATIVO — las tres tiendas con dato vs promedio de la cadena</t>
  </si>
  <si>
    <t>Combos que vendieron</t>
  </si>
  <si>
    <t>% ejecución</t>
  </si>
  <si>
    <t>PROMEDIO 40 TIENDAS</t>
  </si>
  <si>
    <t>Villa Nueva tiene 3.2 veces más stock que Pradera y vende 6 veces menos. La correlación entre inventario y venta es NEGATIVA — solo pasa cuando el producto se acumula en bodega.</t>
  </si>
  <si>
    <t>Vencimientos físicos reportados en Pradera: todos entre 2027 y 2028. El NC Scrimshaw físico vence el 20/12/2027 mientras Retail Link marca 02/09/2026 para el ítem. QUEDA CONFIRMADO: la fecha del reporte es vigencia de catálogo de ítem temporal, no fecha de consumo.</t>
  </si>
  <si>
    <t>Pradera ya reporta Hobgoblin Gold, St. Peter's Stout y St. Peter's Suffolk como "Liquidación" por iniciativa propia. Confirma la clasificación de inactivos de la hoja Liquidación.</t>
  </si>
  <si>
    <t>ALERTA 17/08 09:19 — Paiz Américas: "Están haciendo planograma en área de cervezas y nada de la marca Clan Cervecero viene en planograma." Américas tiene 71% de ejecución y 6 de 7 combos son modulados.</t>
  </si>
  <si>
    <t>ALERTA — "Cantidad Máxima del Estante" está en CERO en las 443 combinaciones, incluidos los 6 modulados en las 40 tiendas. O el campo no se popula en este reporte, o ninguna combinación tiene capacidad asignada. Confirmar con Max.</t>
  </si>
  <si>
    <t>Villa Nueva tiene 60 unidades en pedido (HB Session 20, Belhaven Black 20, Belhaven Best 20): tres ítems que no vendieron NADA en las 40 tiendas, hacia una tienda con 13% de ejecución, con códigos que expiran el 02/09.</t>
  </si>
  <si>
    <t>Discrepancia de lectura de sistema en Villa Nueva: Trooper Original 20 (mercaderista) vs 187 (Retail Link). Esa combinación no registra tránsito ni pedido, así que no se explica por logística. Conciliar terminal de tienda vs sistema corporativo.</t>
  </si>
  <si>
    <t>RUTA DE MERCADERISTAS — ordenada por Q recuperables (solo ítems activos)</t>
  </si>
  <si>
    <t>La venta perdida de ítems inactivos se excluyó: no se recupera colocándola, se liquida.</t>
  </si>
  <si>
    <t>Combos fantasma</t>
  </si>
  <si>
    <t>Unid. activas atrapadas</t>
  </si>
  <si>
    <t>Q activo atrapado</t>
  </si>
  <si>
    <t>Venta sem. (Q)</t>
  </si>
  <si>
    <t>Perdida recuperable/sem</t>
  </si>
  <si>
    <t>% acum.</t>
  </si>
  <si>
    <t>Ola</t>
  </si>
  <si>
    <t>OLA 1</t>
  </si>
  <si>
    <t>OLA 2</t>
  </si>
  <si>
    <t>OLA 3</t>
  </si>
  <si>
    <t>PLANTILLA DE CAPTURA — MERCADERISTAS</t>
  </si>
  <si>
    <t>CATÁLOGO (no editar)</t>
  </si>
  <si>
    <t>Llenar SOLO las celdas amarillas. Una fila por ítem, por tienda, por visita. El código se elige de la lista desplegable: no digitarlo a mano.</t>
  </si>
  <si>
    <t>Indicador del proyecto = Físico en GÓNDOLA ÷ Existencia en SISTEMA. Meta a 2 semanas: 60% en las 14 tiendas de la Ola 1.</t>
  </si>
  <si>
    <t>↓ FILA DE EJEMPLO (azul). Borrala antes de repartir la plantilla.</t>
  </si>
  <si>
    <t>Nombre de tienda</t>
  </si>
  <si>
    <t>Código de ítem</t>
  </si>
  <si>
    <t>Producto (automático)</t>
  </si>
  <si>
    <t>Clase (automático)</t>
  </si>
  <si>
    <t>Existencia en SISTEMA</t>
  </si>
  <si>
    <t>Físico en GÓNDOLA</t>
  </si>
  <si>
    <t>Físico en BODEGA</t>
  </si>
  <si>
    <t>Total físico</t>
  </si>
  <si>
    <t>% en góndola</t>
  </si>
  <si>
    <t>Unidades bajadas de bodega</t>
  </si>
  <si>
    <t>Fecha de vencimiento</t>
  </si>
  <si>
    <t>Foto antes (sí/no)</t>
  </si>
  <si>
    <t>Foto después (sí/no)</t>
  </si>
  <si>
    <t>Observación</t>
  </si>
  <si>
    <t>2026-08-19</t>
  </si>
  <si>
    <t>Juan Pérez</t>
  </si>
  <si>
    <t>sí</t>
  </si>
  <si>
    <t>Producto estaba en bodega, se bajó todo</t>
  </si>
  <si>
    <t>CATÁLOGO — la fuente única de verdad de los 21 ítems</t>
  </si>
  <si>
    <t>Clase según listado comercial · estatus del maestro D96 (corte 23/08) · vigencia de catálogo · capacidad total (VNDR9) · logística.</t>
  </si>
  <si>
    <t>En maestro tienda-válida</t>
  </si>
  <si>
    <t>Vigencia catálogo</t>
  </si>
  <si>
    <t>Costo</t>
  </si>
  <si>
    <t>Capacidad red (u)</t>
  </si>
  <si>
    <t>u/caja</t>
  </si>
  <si>
    <t>Cajas/tarima</t>
  </si>
  <si>
    <t>Notas de campo</t>
  </si>
  <si>
    <t>NO — sin tienda válida</t>
  </si>
  <si>
    <t>sin venc.</t>
  </si>
  <si>
    <t>INACTIVO SIN RUTA DE SALIDA: 286 u en 27 tiendas · mejor tienda: Novicentro</t>
  </si>
  <si>
    <t>165 u en Roosevelt + 28 u en MERMA Naranjo · liquidación</t>
  </si>
  <si>
    <t>14/02/2026</t>
  </si>
  <si>
    <t>Expirado 14/02/26 · renovado por 75437610</t>
  </si>
  <si>
    <t>BORRADO Mega 6 · quiebre total red</t>
  </si>
  <si>
    <t>Liquidación en Cobán</t>
  </si>
  <si>
    <t>Liquidado a Q0.25 en Puerta Parada</t>
  </si>
  <si>
    <t>Quiebre total red</t>
  </si>
  <si>
    <t>Sí (38)</t>
  </si>
  <si>
    <t>Saturación 4.1x · shelf 0 en Mega 6 (NO TRT) y Huehue · lote 5 u vence 25/12/26 Novicentro</t>
  </si>
  <si>
    <t>Sí (34)</t>
  </si>
  <si>
    <t>Shelf 0 en 6 tiendas Paiz · LOTE CORTO: 61 u vencen dic-2026 (Pacific/Aguilar/Naranjo/Sta Amelia)</t>
  </si>
  <si>
    <t>Sí (40 tdas)</t>
  </si>
  <si>
    <t>+133% en sem 629 · 36 u sin ubicar en Roosevelt (reempaque)</t>
  </si>
  <si>
    <t>Sí (40)</t>
  </si>
  <si>
    <t>+85% en sem 629 · llegada 20 u el 12/09 Roosevelt · experimento natural (4 tiendas)</t>
  </si>
  <si>
    <t>Sí (39)</t>
  </si>
  <si>
    <t>111 u en Roosevelt OK · aprov OTRO en Cobán</t>
  </si>
  <si>
    <t>Saturación 2.1x · 68 u empacadas en Roosevelt · liquidación en Cobán</t>
  </si>
  <si>
    <t>ST 10.7% — el mejor de la red · BORRADO en Mega 6 · pendiente ajuste 20 u Vista Hermosa</t>
  </si>
  <si>
    <t>Vence catálogo 02/09 · físico vence 25/12/27</t>
  </si>
  <si>
    <t>Cobertura 100+ sem · vence catálogo 02/09</t>
  </si>
  <si>
    <t>8 u en San Cristóbal (única tienda) · vence 02/09</t>
  </si>
  <si>
    <t>Cero venta estructural · vence 02/09</t>
  </si>
  <si>
    <t>Cero en 13 tiendas · vence 02/09</t>
  </si>
  <si>
    <t>20 u "se buscan" San Cristóbal · vence 02/09</t>
  </si>
  <si>
    <t>REACTIVACIÓN PENDIENTE (no está en los 21): HB Oktoberfestbier LATA 500 ml — existe inactivo, se reactivó por última vez en ~1 semana. (Barrilito 5 L descartado del plan el 24/08 por stock: 16 u, sin compra en camino.)</t>
  </si>
  <si>
    <t>Venta semana, ítems activos (Q)</t>
  </si>
  <si>
    <t>CLAN CERVECERO x WALMART / PAIZ — Instock, liquidación y modelo de pedido</t>
  </si>
  <si>
    <t>Venta perdida recuperable/semana (Q)</t>
  </si>
  <si>
    <t>Venta: semana Walmart 202628 (8–14 ago 2026). Inventario: snapshot semana 202629. Fuente: Retail Link "Formato Nuevo Semanal", solicitud 113137399 del 16/08/2026 07:59 (1,582 registros).</t>
  </si>
  <si>
    <t>Clasificación de ítems según listado de catálogo del proveedor: 6 modulados + 7 no modulados = 13 activos. Los otros 8 ítems con existencia están INACTIVOS y solo pueden liquidarse.</t>
  </si>
  <si>
    <t>Celdas AZULES con fondo amarillo = supuestos editables. Negro = fórmulas.</t>
  </si>
  <si>
    <t>Horizonte de planeación (semanas)</t>
  </si>
  <si>
    <t>Ago–Dic 2026</t>
  </si>
  <si>
    <t>Factor de ejecución esperado post-NP</t>
  </si>
  <si>
    <t>% de la tasa observada que se logra al colocar en piso</t>
  </si>
  <si>
    <t>Uplift temporada Oct–Dic</t>
  </si>
  <si>
    <t>Halloween + Oktoberfest + fin de año</t>
  </si>
  <si>
    <t>Stock de seguridad (semanas)</t>
  </si>
  <si>
    <t>Colchón sobre la demanda del horizonte</t>
  </si>
  <si>
    <t>ESTRUCTURA DEL PORTAFOLIO</t>
  </si>
  <si>
    <t>Ítems</t>
  </si>
  <si>
    <t>Combos tienda-ítem</t>
  </si>
  <si>
    <t>Stock a costo</t>
  </si>
  <si>
    <t>Venta semana</t>
  </si>
  <si>
    <t>Venta perdida/sem</t>
  </si>
  <si>
    <t>Vencimiento</t>
  </si>
  <si>
    <t>ninguno de los 6 vence</t>
  </si>
  <si>
    <t>los 7 tienen vencimiento</t>
  </si>
  <si>
    <t>solo liquidación</t>
  </si>
  <si>
    <t>HALLAZGOS</t>
  </si>
  <si>
    <t>Combinaciones tienda–ítem en el universo</t>
  </si>
  <si>
    <t>Max reportó 439 en la reunión del 14/08; el corte del 16/08 da 443.</t>
  </si>
  <si>
    <t>Tiendas Walmart / Paiz con el portafolio</t>
  </si>
  <si>
    <t>Instock de SISTEMA (combos con existencia &gt; 0)</t>
  </si>
  <si>
    <t>El sistema dice que hay producto.</t>
  </si>
  <si>
    <t>Instock de PISO (combos que registraron venta)</t>
  </si>
  <si>
    <t>La brecha entre estas dos filas es todo el problema.</t>
  </si>
  <si>
    <t>Combos con existencia y CERO venta</t>
  </si>
  <si>
    <t>66.6% del universo.</t>
  </si>
  <si>
    <t>Unidades inmovilizadas en esos combos</t>
  </si>
  <si>
    <t>Venta perdida RECUPERABLE por semana (solo activos)</t>
  </si>
  <si>
    <t>Excluye ítems inactivos: esa venta no se recupera, se liquida.</t>
  </si>
  <si>
    <t>Venta perdida atribuible a ítems inactivos</t>
  </si>
  <si>
    <t>No es oportunidad. Es inventario a liquidar.</t>
  </si>
  <si>
    <t>Venta de la semana que vino de ítems INACTIVOS</t>
  </si>
  <si>
    <t>15% de la venta total desaparece cuando se liquiden.</t>
  </si>
  <si>
    <t>Combos ocupados por ítems inactivos</t>
  </si>
  <si>
    <t>Espacio de góndola que la NP viene a recuperar.</t>
  </si>
  <si>
    <t>Unidades inactivas a liquidar</t>
  </si>
  <si>
    <t>Valor inactivo a costo</t>
  </si>
  <si>
    <t>Exposición de liquidación.</t>
  </si>
  <si>
    <t>Unidades en tránsito</t>
  </si>
  <si>
    <t>Viajando a tiendas que ya tienen producto sin colocar.</t>
  </si>
  <si>
    <t>Unidades en pedido de tienda</t>
  </si>
  <si>
    <t>ESCENARIOS DE VENTA SEMANAL — solo portafolio activo</t>
  </si>
  <si>
    <t>Escenario</t>
  </si>
  <si>
    <t>Factor</t>
  </si>
  <si>
    <t>Venta/semana</t>
  </si>
  <si>
    <t>Venta/mes</t>
  </si>
  <si>
    <t>Ago–Dic (16 sem)</t>
  </si>
  <si>
    <t>Piso actual (sin cambio)</t>
  </si>
  <si>
    <t>Conservador</t>
  </si>
  <si>
    <t>Base (factor de ejecución)</t>
  </si>
  <si>
    <t>Base + temporada</t>
  </si>
  <si>
    <t>Método: la venta perdida se estima aplicando, a cada combo con existencia y cero venta, la tasa de rotación real de ese ítem en las tiendas donde SÍ vendió esa semana, por el precio unitario. Es una cota superior razonable, no una promesa. La ventana es de una sola semana: la dirección del hallazgo es sólida (295 combos a la vez), las magnitudes conviene revalidarlas con 4 semanas.</t>
  </si>
  <si>
    <t>DETALLE COMPLETO — 443 combinaciones tienda × ítem</t>
  </si>
  <si>
    <t>Nombre tienda</t>
  </si>
  <si>
    <t>Existencia (u)</t>
  </si>
  <si>
    <t>Tránsito</t>
  </si>
  <si>
    <t>Pedido tda</t>
  </si>
  <si>
    <t>Máx estante</t>
  </si>
  <si>
    <t>Precio</t>
  </si>
  <si>
    <t>Valor stock (Q)</t>
  </si>
  <si>
    <t>FANTASMA</t>
  </si>
  <si>
    <t>VENDIENDO</t>
  </si>
  <si>
    <t>OUT tras venta</t>
  </si>
  <si>
    <t>SIN COBERTURA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</si>
</sst>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0;&quot;(Q&quot;#,##0\);\-"/>
    <numFmt numFmtId="165" formatCode="#,##0;\(#,##0\);\-"/>
    <numFmt numFmtId="166" formatCode="0.0%"/>
    <numFmt numFmtId="167" formatCode="\Q#,##0.00"/>
    <numFmt numFmtId="168" formatCode="#,##0.0"/>
    <numFmt numFmtId="169" formatCode="0.0"/>
    <numFmt numFmtId="170" formatCode="0.0\x"/>
    <numFmt numFmtId="171" formatCode="\Q#,##0.00;&quot;(Q&quot;#,##0.00\);\-"/>
    <numFmt numFmtId="172" formatCode="\Q#,##0"/>
  </numFmts>
  <fonts count="26" x14ac:knownFonts="1">
    <font>
      <sz val="11"/>
      <color theme="1"/>
      <name val="Calibri"/>
      <family val="2"/>
      <charset val="1"/>
    </font>
    <font>
      <b/>
      <sz val="20"/>
      <color rgb="FFFFFFFF"/>
      <name val="Arial"/>
      <family val="2"/>
    </font>
    <font>
      <i/>
      <sz val="10"/>
      <color rgb="FF595959"/>
      <name val="Arial"/>
      <family val="2"/>
    </font>
    <font>
      <b/>
      <u/>
      <sz val="11"/>
      <color rgb="FFC00000"/>
      <name val="Arial"/>
      <family val="2"/>
    </font>
    <font>
      <b/>
      <sz val="12"/>
      <color rgb="FF1F3864"/>
      <name val="Arial"/>
      <family val="2"/>
    </font>
    <font>
      <b/>
      <sz val="12"/>
      <color rgb="FF2E2620"/>
      <name val="Arial"/>
      <family val="2"/>
    </font>
    <font>
      <b/>
      <u/>
      <sz val="11"/>
      <color rgb="FFBF8F00"/>
      <name val="Cambria"/>
      <family val="1"/>
    </font>
    <font>
      <b/>
      <sz val="11"/>
      <color rgb="FFFFFFFF"/>
      <name val="Arial"/>
      <family val="2"/>
    </font>
    <font>
      <b/>
      <u/>
      <sz val="11"/>
      <color rgb="FF0563C1"/>
      <name val="Arial"/>
      <family val="2"/>
    </font>
    <font>
      <sz val="10"/>
      <name val="Arial"/>
      <family val="2"/>
    </font>
    <font>
      <b/>
      <u/>
      <sz val="11"/>
      <color rgb="FF1F3864"/>
      <name val="Cambria"/>
      <family val="1"/>
    </font>
    <font>
      <b/>
      <sz val="15"/>
      <color rgb="FF1F3864"/>
      <name val="Cambria"/>
      <family val="1"/>
    </font>
    <font>
      <i/>
      <sz val="9"/>
      <color rgb="FF6E6257"/>
      <name val="Cambria"/>
      <family val="1"/>
    </font>
    <font>
      <b/>
      <sz val="11.5"/>
      <color rgb="FFFFFFFF"/>
      <name val="Cambria"/>
      <family val="1"/>
    </font>
    <font>
      <b/>
      <sz val="9.5"/>
      <color rgb="FFFFFFFF"/>
      <name val="Cambria"/>
      <family val="1"/>
    </font>
    <font>
      <sz val="9.5"/>
      <color rgb="FF2E2620"/>
      <name val="Cambria"/>
      <family val="1"/>
    </font>
    <font>
      <b/>
      <sz val="16"/>
      <color rgb="FF1F3864"/>
      <name val="Arial"/>
      <family val="2"/>
    </font>
    <font>
      <b/>
      <sz val="10"/>
      <name val="Arial"/>
      <family val="2"/>
    </font>
    <font>
      <b/>
      <sz val="10"/>
      <color rgb="FFFFFFFF"/>
      <name val="Arial"/>
      <family val="2"/>
    </font>
    <font>
      <b/>
      <sz val="10"/>
      <color rgb="FF9C0006"/>
      <name val="Arial"/>
      <family val="2"/>
    </font>
    <font>
      <b/>
      <sz val="14"/>
      <color rgb="FF1F3864"/>
      <name val="Arial"/>
      <family val="2"/>
    </font>
    <font>
      <b/>
      <u/>
      <sz val="10"/>
      <color rgb="FF0563C1"/>
      <name val="Arial"/>
      <family val="2"/>
    </font>
    <font>
      <i/>
      <sz val="8.5"/>
      <color rgb="FF6E6257"/>
      <name val="Cambria"/>
      <family val="1"/>
    </font>
    <font>
      <sz val="10"/>
      <color rgb="FF0000FF"/>
      <name val="Arial"/>
      <family val="2"/>
    </font>
    <font>
      <b/>
      <i/>
      <sz val="10"/>
      <color rgb="FF9C0006"/>
      <name val="Arial"/>
      <family val="2"/>
    </font>
    <font>
      <b/>
      <i/>
      <sz val="10"/>
      <color rgb="FF0000FF"/>
      <name val="Arial"/>
      <family val="2"/>
    </font>
  </fonts>
  <fills count="17">
    <fill>
      <patternFill patternType="none"/>
    </fill>
    <fill>
      <patternFill patternType="gray125"/>
    </fill>
    <fill>
      <patternFill patternType="solid">
        <fgColor rgb="FF1F3864"/>
        <bgColor rgb="FF2E2620"/>
      </patternFill>
    </fill>
    <fill>
      <patternFill patternType="solid">
        <fgColor rgb="FFC6EFCE"/>
        <bgColor rgb="FFE8F0E4"/>
      </patternFill>
    </fill>
    <fill>
      <patternFill patternType="solid">
        <fgColor rgb="FFFFEB9C"/>
        <bgColor rgb="FFFFF3CD"/>
      </patternFill>
    </fill>
    <fill>
      <patternFill patternType="solid">
        <fgColor rgb="FFFFC7CE"/>
        <bgColor rgb="FFD9D9D9"/>
      </patternFill>
    </fill>
    <fill>
      <patternFill patternType="solid">
        <fgColor rgb="FFF2EFEA"/>
        <bgColor rgb="FFF5F1E8"/>
      </patternFill>
    </fill>
    <fill>
      <patternFill patternType="solid">
        <fgColor rgb="FF4E7A3A"/>
        <bgColor rgb="FF548235"/>
      </patternFill>
    </fill>
    <fill>
      <patternFill patternType="solid">
        <fgColor rgb="FFF5F1E8"/>
        <bgColor rgb="FFF2EFEA"/>
      </patternFill>
    </fill>
    <fill>
      <patternFill patternType="solid">
        <fgColor rgb="FFBF8F00"/>
        <bgColor rgb="FFED7D31"/>
      </patternFill>
    </fill>
    <fill>
      <patternFill patternType="solid">
        <fgColor rgb="FFE8F0E4"/>
        <bgColor rgb="FFF2EFEA"/>
      </patternFill>
    </fill>
    <fill>
      <patternFill patternType="solid">
        <fgColor rgb="FFFFF3CD"/>
        <bgColor rgb="FFF5F1E8"/>
      </patternFill>
    </fill>
    <fill>
      <patternFill patternType="solid">
        <fgColor rgb="FFFDECEA"/>
        <bgColor rgb="FFF5F1E8"/>
      </patternFill>
    </fill>
    <fill>
      <patternFill patternType="solid">
        <fgColor rgb="FFD9D9D9"/>
        <bgColor rgb="FFE7E6E6"/>
      </patternFill>
    </fill>
    <fill>
      <patternFill patternType="solid">
        <fgColor rgb="FFE7E6E6"/>
        <bgColor rgb="FFEDE9E1"/>
      </patternFill>
    </fill>
    <fill>
      <patternFill patternType="solid">
        <fgColor rgb="FFEDE9E1"/>
        <bgColor rgb="FFE7E6E6"/>
      </patternFill>
    </fill>
    <fill>
      <patternFill patternType="solid">
        <fgColor rgb="FFFFFF00"/>
        <bgColor rgb="FFFFEB9C"/>
      </patternFill>
    </fill>
  </fills>
  <borders count="3">
    <border>
      <left/>
      <right/>
      <top/>
      <bottom/>
      <diagonal/>
    </border>
    <border>
      <left style="thin">
        <color rgb="FFC9C2B6"/>
      </left>
      <right style="thin">
        <color rgb="FFC9C2B6"/>
      </right>
      <top style="thin">
        <color rgb="FFC9C2B6"/>
      </top>
      <bottom style="thin">
        <color rgb="FFC9C2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0">
    <xf numFmtId="0" fontId="0" fillId="0" borderId="0" xfId="0"/>
    <xf numFmtId="0" fontId="2" fillId="0" borderId="0" xfId="0" applyFont="1" applyAlignment="1">
      <alignment vertical="top" wrapText="1"/>
    </xf>
    <xf numFmtId="0" fontId="8" fillId="0" borderId="0" xfId="0" applyFont="1"/>
    <xf numFmtId="0" fontId="9" fillId="0" borderId="0" xfId="0" applyFont="1"/>
    <xf numFmtId="0" fontId="10" fillId="0" borderId="0" xfId="0" applyFont="1"/>
    <xf numFmtId="0" fontId="14" fillId="2" borderId="1" xfId="0" applyFont="1" applyFill="1" applyBorder="1" applyAlignment="1">
      <alignment vertical="center" wrapText="1"/>
    </xf>
    <xf numFmtId="0" fontId="15" fillId="0" borderId="1" xfId="0" applyFont="1" applyBorder="1" applyAlignment="1">
      <alignment vertical="top" wrapText="1"/>
    </xf>
    <xf numFmtId="0" fontId="15" fillId="8" borderId="1" xfId="0" applyFont="1" applyFill="1" applyBorder="1" applyAlignment="1">
      <alignment vertical="top" wrapText="1"/>
    </xf>
    <xf numFmtId="0" fontId="2" fillId="0" borderId="0" xfId="0" applyFont="1"/>
    <xf numFmtId="0" fontId="17" fillId="0" borderId="0" xfId="0" applyFont="1"/>
    <xf numFmtId="0" fontId="18" fillId="2" borderId="0" xfId="0" applyFont="1" applyFill="1" applyAlignment="1">
      <alignment horizontal="center" vertical="center" wrapText="1"/>
    </xf>
    <xf numFmtId="0" fontId="9" fillId="3" borderId="2" xfId="0" applyFont="1" applyFill="1" applyBorder="1" applyAlignment="1">
      <alignment vertical="center" wrapText="1"/>
    </xf>
    <xf numFmtId="0" fontId="9" fillId="0" borderId="0" xfId="0" applyFont="1" applyAlignment="1">
      <alignment vertical="top" wrapText="1"/>
    </xf>
    <xf numFmtId="0" fontId="9" fillId="5" borderId="2" xfId="0" applyFont="1" applyFill="1" applyBorder="1" applyAlignment="1">
      <alignment vertical="center" wrapText="1"/>
    </xf>
    <xf numFmtId="0" fontId="9" fillId="10" borderId="2" xfId="0" applyFont="1" applyFill="1" applyBorder="1" applyAlignment="1">
      <alignment vertical="center" wrapText="1"/>
    </xf>
    <xf numFmtId="0" fontId="9" fillId="4" borderId="2" xfId="0" applyFont="1" applyFill="1" applyBorder="1" applyAlignment="1">
      <alignment vertical="center" wrapText="1"/>
    </xf>
    <xf numFmtId="0" fontId="9" fillId="0" borderId="2" xfId="0" applyFont="1" applyBorder="1" applyAlignment="1">
      <alignment wrapText="1"/>
    </xf>
    <xf numFmtId="0" fontId="17" fillId="3" borderId="2" xfId="0" applyFont="1" applyFill="1" applyBorder="1"/>
    <xf numFmtId="0" fontId="17" fillId="4" borderId="2" xfId="0" applyFont="1" applyFill="1" applyBorder="1"/>
    <xf numFmtId="0" fontId="17" fillId="10" borderId="0" xfId="0" applyFont="1" applyFill="1" applyAlignment="1">
      <alignment vertical="top" wrapText="1"/>
    </xf>
    <xf numFmtId="0" fontId="17" fillId="11" borderId="0" xfId="0" applyFont="1" applyFill="1" applyAlignment="1">
      <alignment vertical="top" wrapText="1"/>
    </xf>
    <xf numFmtId="0" fontId="17" fillId="12" borderId="0" xfId="0" applyFont="1" applyFill="1" applyAlignment="1">
      <alignment vertical="top"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0" borderId="2" xfId="0" applyFont="1" applyBorder="1" applyAlignment="1">
      <alignment vertical="center" wrapText="1"/>
    </xf>
    <xf numFmtId="0" fontId="9" fillId="0" borderId="2" xfId="0" applyFont="1" applyBorder="1"/>
    <xf numFmtId="164" fontId="0" fillId="0" borderId="2" xfId="0" applyNumberFormat="1" applyBorder="1"/>
    <xf numFmtId="164" fontId="0" fillId="3" borderId="2" xfId="0" applyNumberFormat="1" applyFill="1" applyBorder="1"/>
    <xf numFmtId="0" fontId="2" fillId="0" borderId="2" xfId="0" applyFont="1" applyBorder="1"/>
    <xf numFmtId="0" fontId="17" fillId="0" borderId="2" xfId="0" applyFont="1" applyBorder="1"/>
    <xf numFmtId="165" fontId="0" fillId="0" borderId="2" xfId="0" applyNumberFormat="1" applyBorder="1"/>
    <xf numFmtId="165" fontId="0" fillId="3" borderId="2" xfId="0" applyNumberFormat="1" applyFill="1" applyBorder="1"/>
    <xf numFmtId="166" fontId="0" fillId="0" borderId="2" xfId="0" applyNumberFormat="1" applyBorder="1"/>
    <xf numFmtId="166" fontId="0" fillId="3" borderId="2" xfId="0" applyNumberFormat="1" applyFill="1" applyBorder="1"/>
    <xf numFmtId="167" fontId="0" fillId="0" borderId="2" xfId="0" applyNumberFormat="1" applyBorder="1"/>
    <xf numFmtId="167" fontId="0" fillId="3" borderId="2" xfId="0" applyNumberFormat="1" applyFill="1" applyBorder="1"/>
    <xf numFmtId="3" fontId="0" fillId="0" borderId="2" xfId="0" applyNumberFormat="1" applyBorder="1"/>
    <xf numFmtId="3" fontId="0" fillId="3" borderId="2" xfId="0" applyNumberFormat="1" applyFill="1" applyBorder="1"/>
    <xf numFmtId="0" fontId="21" fillId="0" borderId="0" xfId="0" applyFont="1"/>
    <xf numFmtId="0" fontId="9" fillId="3" borderId="2" xfId="0" applyFont="1" applyFill="1" applyBorder="1"/>
    <xf numFmtId="0" fontId="9" fillId="4" borderId="2" xfId="0" applyFont="1" applyFill="1" applyBorder="1"/>
    <xf numFmtId="0" fontId="9" fillId="13" borderId="2" xfId="0" applyFont="1" applyFill="1" applyBorder="1"/>
    <xf numFmtId="164" fontId="18" fillId="2" borderId="2" xfId="0" applyNumberFormat="1" applyFont="1" applyFill="1" applyBorder="1"/>
    <xf numFmtId="0" fontId="2" fillId="0" borderId="0" xfId="0" applyFont="1" applyAlignment="1">
      <alignment wrapText="1"/>
    </xf>
    <xf numFmtId="0" fontId="9" fillId="14" borderId="2" xfId="0" applyFont="1" applyFill="1" applyBorder="1"/>
    <xf numFmtId="165" fontId="18" fillId="2" borderId="2" xfId="0" applyNumberFormat="1" applyFont="1" applyFill="1" applyBorder="1"/>
    <xf numFmtId="0" fontId="2" fillId="3" borderId="2" xfId="0" applyFont="1" applyFill="1" applyBorder="1"/>
    <xf numFmtId="0" fontId="9" fillId="5" borderId="2" xfId="0" applyFont="1" applyFill="1" applyBorder="1"/>
    <xf numFmtId="164" fontId="0" fillId="5" borderId="2" xfId="0" applyNumberFormat="1" applyFill="1" applyBorder="1"/>
    <xf numFmtId="166" fontId="0" fillId="5" borderId="2" xfId="0" applyNumberFormat="1" applyFill="1" applyBorder="1"/>
    <xf numFmtId="0" fontId="2" fillId="5" borderId="2" xfId="0" applyFont="1" applyFill="1" applyBorder="1"/>
    <xf numFmtId="168" fontId="0" fillId="0" borderId="2" xfId="0" applyNumberFormat="1" applyBorder="1"/>
    <xf numFmtId="0" fontId="17" fillId="5" borderId="2" xfId="0" applyFont="1" applyFill="1" applyBorder="1"/>
    <xf numFmtId="0" fontId="9" fillId="4" borderId="2" xfId="0" applyFont="1" applyFill="1" applyBorder="1" applyAlignment="1">
      <alignment wrapText="1"/>
    </xf>
    <xf numFmtId="0" fontId="2" fillId="0" borderId="2" xfId="0" applyFont="1" applyBorder="1" applyAlignment="1">
      <alignment wrapText="1"/>
    </xf>
    <xf numFmtId="165" fontId="0" fillId="5" borderId="2" xfId="0" applyNumberFormat="1" applyFill="1" applyBorder="1"/>
    <xf numFmtId="0" fontId="2" fillId="5" borderId="2" xfId="0" applyFont="1" applyFill="1" applyBorder="1" applyAlignment="1">
      <alignment wrapText="1"/>
    </xf>
    <xf numFmtId="165" fontId="0" fillId="0" borderId="2" xfId="0" applyNumberFormat="1" applyBorder="1" applyAlignment="1">
      <alignment wrapText="1"/>
    </xf>
    <xf numFmtId="0" fontId="9" fillId="15" borderId="2" xfId="0" applyFont="1" applyFill="1" applyBorder="1" applyAlignment="1">
      <alignment wrapText="1"/>
    </xf>
    <xf numFmtId="165" fontId="0" fillId="15" borderId="2" xfId="0" applyNumberFormat="1" applyFill="1" applyBorder="1" applyAlignment="1">
      <alignment wrapText="1"/>
    </xf>
    <xf numFmtId="0" fontId="2" fillId="15" borderId="2" xfId="0" applyFont="1" applyFill="1" applyBorder="1" applyAlignment="1">
      <alignment wrapText="1"/>
    </xf>
    <xf numFmtId="0" fontId="15" fillId="15" borderId="1" xfId="0" applyFont="1" applyFill="1" applyBorder="1" applyAlignment="1">
      <alignment vertical="top" wrapText="1"/>
    </xf>
    <xf numFmtId="0" fontId="15" fillId="11" borderId="1" xfId="0" applyFont="1" applyFill="1" applyBorder="1" applyAlignment="1">
      <alignment vertical="top" wrapText="1"/>
    </xf>
    <xf numFmtId="0" fontId="18" fillId="2" borderId="0" xfId="0" applyFont="1" applyFill="1"/>
    <xf numFmtId="0" fontId="17" fillId="0" borderId="0" xfId="0" applyFont="1" applyAlignment="1">
      <alignment wrapText="1"/>
    </xf>
    <xf numFmtId="0" fontId="18" fillId="2" borderId="0" xfId="0" applyFont="1" applyFill="1" applyAlignment="1">
      <alignment horizontal="center" wrapText="1"/>
    </xf>
    <xf numFmtId="0" fontId="0" fillId="0" borderId="2" xfId="0" applyBorder="1"/>
    <xf numFmtId="165" fontId="0" fillId="4" borderId="2" xfId="0" applyNumberFormat="1" applyFill="1" applyBorder="1"/>
    <xf numFmtId="164" fontId="0" fillId="4" borderId="2" xfId="0" applyNumberFormat="1" applyFill="1" applyBorder="1"/>
    <xf numFmtId="165" fontId="0" fillId="0" borderId="0" xfId="0" applyNumberFormat="1"/>
    <xf numFmtId="169" fontId="0" fillId="3" borderId="2" xfId="0" applyNumberFormat="1" applyFill="1" applyBorder="1"/>
    <xf numFmtId="170" fontId="17" fillId="3" borderId="2" xfId="0" applyNumberFormat="1" applyFont="1" applyFill="1" applyBorder="1"/>
    <xf numFmtId="169" fontId="0" fillId="4" borderId="2" xfId="0" applyNumberFormat="1" applyFill="1" applyBorder="1"/>
    <xf numFmtId="170" fontId="17" fillId="4" borderId="2" xfId="0" applyNumberFormat="1" applyFont="1" applyFill="1" applyBorder="1"/>
    <xf numFmtId="169" fontId="0" fillId="5" borderId="2" xfId="0" applyNumberFormat="1" applyFill="1" applyBorder="1"/>
    <xf numFmtId="170" fontId="17" fillId="5" borderId="2" xfId="0" applyNumberFormat="1" applyFont="1" applyFill="1" applyBorder="1"/>
    <xf numFmtId="2" fontId="23" fillId="16" borderId="2" xfId="0" applyNumberFormat="1" applyFont="1" applyFill="1" applyBorder="1"/>
    <xf numFmtId="170" fontId="0" fillId="0" borderId="2" xfId="0" applyNumberFormat="1" applyBorder="1"/>
    <xf numFmtId="171" fontId="0" fillId="0" borderId="2" xfId="0" applyNumberFormat="1" applyBorder="1"/>
    <xf numFmtId="0" fontId="19" fillId="5" borderId="2" xfId="0" applyFont="1" applyFill="1" applyBorder="1"/>
    <xf numFmtId="165" fontId="17" fillId="3" borderId="2" xfId="0" applyNumberFormat="1" applyFont="1" applyFill="1" applyBorder="1"/>
    <xf numFmtId="164" fontId="17" fillId="3" borderId="2" xfId="0" applyNumberFormat="1" applyFont="1" applyFill="1" applyBorder="1"/>
    <xf numFmtId="165" fontId="17" fillId="4" borderId="2" xfId="0" applyNumberFormat="1" applyFont="1" applyFill="1" applyBorder="1"/>
    <xf numFmtId="164" fontId="17" fillId="4" borderId="2" xfId="0" applyNumberFormat="1" applyFont="1" applyFill="1" applyBorder="1"/>
    <xf numFmtId="165" fontId="23" fillId="16" borderId="2" xfId="0" applyNumberFormat="1" applyFont="1" applyFill="1" applyBorder="1"/>
    <xf numFmtId="165" fontId="23" fillId="15" borderId="2" xfId="0" applyNumberFormat="1" applyFont="1" applyFill="1" applyBorder="1"/>
    <xf numFmtId="172" fontId="23" fillId="16" borderId="2" xfId="0" applyNumberFormat="1" applyFont="1" applyFill="1" applyBorder="1"/>
    <xf numFmtId="165" fontId="17" fillId="0" borderId="2" xfId="0" applyNumberFormat="1" applyFont="1" applyBorder="1"/>
    <xf numFmtId="168" fontId="17" fillId="0" borderId="2" xfId="0" applyNumberFormat="1" applyFont="1" applyBorder="1"/>
    <xf numFmtId="165" fontId="17" fillId="15" borderId="2" xfId="0" applyNumberFormat="1" applyFont="1" applyFill="1" applyBorder="1"/>
    <xf numFmtId="164" fontId="17" fillId="0" borderId="2" xfId="0" applyNumberFormat="1" applyFont="1" applyBorder="1"/>
    <xf numFmtId="165" fontId="0" fillId="13" borderId="2" xfId="0" applyNumberFormat="1" applyFill="1" applyBorder="1"/>
    <xf numFmtId="171" fontId="0" fillId="13" borderId="2" xfId="0" applyNumberFormat="1" applyFill="1" applyBorder="1"/>
    <xf numFmtId="164" fontId="0" fillId="13" borderId="2" xfId="0" applyNumberFormat="1" applyFill="1" applyBorder="1"/>
    <xf numFmtId="165" fontId="17" fillId="5" borderId="2" xfId="0" applyNumberFormat="1" applyFont="1" applyFill="1" applyBorder="1"/>
    <xf numFmtId="171" fontId="0" fillId="5" borderId="2" xfId="0" applyNumberFormat="1" applyFill="1" applyBorder="1"/>
    <xf numFmtId="168" fontId="0" fillId="5" borderId="2" xfId="0" applyNumberFormat="1" applyFill="1" applyBorder="1"/>
    <xf numFmtId="171" fontId="0" fillId="4" borderId="2" xfId="0" applyNumberFormat="1" applyFill="1" applyBorder="1"/>
    <xf numFmtId="168" fontId="0" fillId="4" borderId="2" xfId="0" applyNumberFormat="1" applyFill="1" applyBorder="1"/>
    <xf numFmtId="0" fontId="9" fillId="5" borderId="2" xfId="0" applyFont="1" applyFill="1" applyBorder="1" applyAlignment="1">
      <alignment wrapText="1"/>
    </xf>
    <xf numFmtId="0" fontId="9" fillId="3" borderId="2" xfId="0" applyFont="1" applyFill="1" applyBorder="1" applyAlignment="1">
      <alignment wrapText="1"/>
    </xf>
    <xf numFmtId="0" fontId="0" fillId="5" borderId="2" xfId="0" applyFill="1" applyBorder="1"/>
    <xf numFmtId="166" fontId="17" fillId="5" borderId="2" xfId="0" applyNumberFormat="1" applyFont="1" applyFill="1" applyBorder="1"/>
    <xf numFmtId="165" fontId="17" fillId="13" borderId="2" xfId="0" applyNumberFormat="1" applyFont="1" applyFill="1" applyBorder="1"/>
    <xf numFmtId="0" fontId="23" fillId="16" borderId="0" xfId="0" applyFont="1" applyFill="1"/>
    <xf numFmtId="0" fontId="23" fillId="0" borderId="0" xfId="0" applyFont="1"/>
    <xf numFmtId="166" fontId="23" fillId="0" borderId="0" xfId="0" applyNumberFormat="1" applyFont="1"/>
    <xf numFmtId="0" fontId="0" fillId="16" borderId="2" xfId="0" applyFill="1" applyBorder="1"/>
    <xf numFmtId="0" fontId="17" fillId="14" borderId="2" xfId="0" applyFont="1" applyFill="1" applyBorder="1"/>
    <xf numFmtId="166" fontId="23" fillId="16" borderId="2" xfId="0" applyNumberFormat="1" applyFont="1" applyFill="1" applyBorder="1"/>
    <xf numFmtId="165" fontId="9" fillId="3" borderId="2" xfId="0" applyNumberFormat="1" applyFont="1" applyFill="1" applyBorder="1"/>
    <xf numFmtId="164" fontId="9" fillId="3" borderId="2" xfId="0" applyNumberFormat="1" applyFont="1" applyFill="1" applyBorder="1"/>
    <xf numFmtId="165" fontId="9" fillId="4" borderId="2" xfId="0" applyNumberFormat="1" applyFont="1" applyFill="1" applyBorder="1"/>
    <xf numFmtId="164" fontId="9" fillId="4" borderId="2" xfId="0" applyNumberFormat="1" applyFont="1" applyFill="1" applyBorder="1"/>
    <xf numFmtId="165" fontId="9" fillId="13" borderId="2" xfId="0" applyNumberFormat="1" applyFont="1" applyFill="1" applyBorder="1"/>
    <xf numFmtId="164" fontId="9" fillId="13" borderId="2" xfId="0" applyNumberFormat="1" applyFont="1" applyFill="1" applyBorder="1"/>
    <xf numFmtId="166" fontId="17" fillId="0" borderId="2" xfId="0" applyNumberFormat="1" applyFont="1" applyBorder="1"/>
    <xf numFmtId="164" fontId="17" fillId="5" borderId="2" xfId="0" applyNumberFormat="1" applyFont="1" applyFill="1" applyBorder="1"/>
    <xf numFmtId="165" fontId="9" fillId="0" borderId="2" xfId="0" applyNumberFormat="1" applyFont="1" applyBorder="1"/>
    <xf numFmtId="171" fontId="9" fillId="0" borderId="2" xfId="0" applyNumberFormat="1" applyFont="1" applyBorder="1"/>
    <xf numFmtId="164" fontId="9" fillId="0" borderId="2" xfId="0" applyNumberFormat="1" applyFont="1" applyBorder="1"/>
    <xf numFmtId="0" fontId="17" fillId="4" borderId="0" xfId="0" applyFont="1" applyFill="1"/>
    <xf numFmtId="0" fontId="9" fillId="0" borderId="0" xfId="0" applyFont="1" applyAlignment="1">
      <alignment vertical="top" wrapText="1"/>
    </xf>
    <xf numFmtId="0" fontId="19" fillId="0" borderId="0" xfId="0" applyFont="1" applyAlignment="1">
      <alignment wrapText="1"/>
    </xf>
    <xf numFmtId="0" fontId="2" fillId="0" borderId="0" xfId="0" applyFont="1" applyAlignment="1">
      <alignment wrapText="1"/>
    </xf>
    <xf numFmtId="0" fontId="17" fillId="0" borderId="0" xfId="0" applyFont="1" applyAlignment="1">
      <alignment wrapText="1"/>
    </xf>
    <xf numFmtId="0" fontId="2" fillId="0" borderId="0" xfId="0" applyFont="1"/>
    <xf numFmtId="0" fontId="0" fillId="0" borderId="0" xfId="0" applyAlignment="1">
      <alignment wrapText="1"/>
    </xf>
    <xf numFmtId="0" fontId="11" fillId="0" borderId="0" xfId="0" applyFont="1" applyAlignment="1">
      <alignment wrapText="1"/>
    </xf>
    <xf numFmtId="0" fontId="12" fillId="0" borderId="0" xfId="0" applyFont="1" applyAlignment="1">
      <alignment wrapText="1"/>
    </xf>
    <xf numFmtId="0" fontId="13" fillId="7" borderId="0" xfId="0" applyFont="1" applyFill="1" applyAlignment="1">
      <alignment wrapText="1"/>
    </xf>
    <xf numFmtId="0" fontId="13" fillId="9" borderId="0" xfId="0" applyFont="1" applyFill="1" applyAlignment="1">
      <alignment wrapText="1"/>
    </xf>
    <xf numFmtId="0" fontId="13" fillId="2" borderId="0" xfId="0" applyFont="1" applyFill="1" applyAlignment="1">
      <alignment wrapText="1"/>
    </xf>
    <xf numFmtId="0" fontId="8" fillId="0" borderId="0" xfId="0" applyFont="1" applyAlignment="1">
      <alignment wrapText="1"/>
    </xf>
    <xf numFmtId="0" fontId="17" fillId="4" borderId="0" xfId="0" applyFont="1" applyFill="1" applyAlignment="1">
      <alignment wrapText="1"/>
    </xf>
    <xf numFmtId="0" fontId="16" fillId="0" borderId="0" xfId="0" applyFont="1" applyAlignment="1">
      <alignment wrapText="1"/>
    </xf>
    <xf numFmtId="0" fontId="17" fillId="3" borderId="2" xfId="0" applyFont="1" applyFill="1" applyBorder="1" applyAlignment="1">
      <alignment wrapText="1"/>
    </xf>
    <xf numFmtId="0" fontId="17" fillId="4" borderId="2" xfId="0" applyFont="1" applyFill="1" applyBorder="1" applyAlignment="1">
      <alignment wrapText="1"/>
    </xf>
    <xf numFmtId="164" fontId="0" fillId="0" borderId="2" xfId="0" applyNumberFormat="1" applyBorder="1" applyAlignment="1">
      <alignment wrapText="1"/>
    </xf>
    <xf numFmtId="166" fontId="0" fillId="0" borderId="2" xfId="0" applyNumberFormat="1" applyBorder="1" applyAlignment="1">
      <alignment wrapText="1"/>
    </xf>
    <xf numFmtId="167" fontId="0" fillId="0" borderId="2" xfId="0" applyNumberFormat="1" applyBorder="1" applyAlignment="1">
      <alignment wrapText="1"/>
    </xf>
    <xf numFmtId="3" fontId="0" fillId="0" borderId="2" xfId="0" applyNumberFormat="1" applyBorder="1" applyAlignment="1">
      <alignment wrapText="1"/>
    </xf>
    <xf numFmtId="0" fontId="20" fillId="0" borderId="0" xfId="0" applyFont="1" applyAlignment="1">
      <alignment wrapText="1"/>
    </xf>
    <xf numFmtId="0" fontId="21" fillId="0" borderId="0" xfId="0" applyFont="1" applyAlignment="1">
      <alignment wrapText="1"/>
    </xf>
    <xf numFmtId="0" fontId="17" fillId="0" borderId="2" xfId="0" applyFont="1" applyBorder="1" applyAlignment="1">
      <alignment wrapText="1"/>
    </xf>
    <xf numFmtId="165" fontId="0" fillId="5" borderId="2" xfId="0" applyNumberFormat="1" applyFill="1" applyBorder="1" applyAlignment="1">
      <alignment wrapText="1"/>
    </xf>
    <xf numFmtId="0" fontId="22" fillId="0" borderId="0" xfId="0" applyFont="1" applyAlignment="1">
      <alignment wrapText="1"/>
    </xf>
    <xf numFmtId="0" fontId="18" fillId="2" borderId="0" xfId="0" applyFont="1" applyFill="1" applyAlignment="1">
      <alignment wrapText="1"/>
    </xf>
    <xf numFmtId="1" fontId="0" fillId="0" borderId="0" xfId="0" applyNumberFormat="1" applyAlignment="1">
      <alignment wrapText="1"/>
    </xf>
    <xf numFmtId="0" fontId="2" fillId="3" borderId="2" xfId="0" applyFont="1" applyFill="1" applyBorder="1" applyAlignment="1">
      <alignment wrapText="1"/>
    </xf>
    <xf numFmtId="0" fontId="2" fillId="4" borderId="2" xfId="0" applyFont="1" applyFill="1" applyBorder="1" applyAlignment="1">
      <alignment wrapText="1"/>
    </xf>
    <xf numFmtId="0" fontId="9" fillId="0" borderId="0" xfId="0" applyFont="1" applyAlignment="1">
      <alignment wrapText="1"/>
    </xf>
    <xf numFmtId="0" fontId="9" fillId="15" borderId="0" xfId="0" applyFont="1" applyFill="1" applyAlignment="1">
      <alignment wrapText="1"/>
    </xf>
    <xf numFmtId="0" fontId="2" fillId="15" borderId="0" xfId="0" applyFont="1" applyFill="1" applyAlignment="1">
      <alignment wrapText="1"/>
    </xf>
    <xf numFmtId="0" fontId="0" fillId="15" borderId="0" xfId="0" applyFill="1" applyAlignment="1">
      <alignment wrapText="1"/>
    </xf>
    <xf numFmtId="0" fontId="9" fillId="13" borderId="2" xfId="0" applyFont="1" applyFill="1" applyBorder="1" applyAlignment="1">
      <alignment wrapText="1"/>
    </xf>
    <xf numFmtId="0" fontId="24" fillId="0" borderId="0" xfId="0" applyFont="1" applyAlignment="1">
      <alignment wrapText="1"/>
    </xf>
    <xf numFmtId="165" fontId="17" fillId="0" borderId="2" xfId="0" applyNumberFormat="1" applyFont="1" applyBorder="1" applyAlignment="1">
      <alignment wrapText="1"/>
    </xf>
    <xf numFmtId="0" fontId="17" fillId="5" borderId="2" xfId="0" applyFont="1" applyFill="1" applyBorder="1" applyAlignment="1">
      <alignment wrapText="1"/>
    </xf>
    <xf numFmtId="0" fontId="17" fillId="13" borderId="2" xfId="0" applyFont="1" applyFill="1" applyBorder="1" applyAlignment="1">
      <alignment wrapText="1"/>
    </xf>
    <xf numFmtId="0" fontId="25" fillId="0" borderId="0" xfId="0" applyFont="1" applyAlignment="1">
      <alignment wrapText="1"/>
    </xf>
    <xf numFmtId="0" fontId="23" fillId="16" borderId="0" xfId="0" applyFont="1" applyFill="1" applyAlignment="1">
      <alignment wrapText="1"/>
    </xf>
    <xf numFmtId="0" fontId="0" fillId="16" borderId="2" xfId="0" applyFill="1" applyBorder="1" applyAlignment="1">
      <alignment wrapText="1"/>
    </xf>
    <xf numFmtId="164" fontId="0" fillId="4" borderId="2" xfId="0" applyNumberFormat="1" applyFill="1" applyBorder="1" applyAlignment="1">
      <alignment wrapText="1"/>
    </xf>
    <xf numFmtId="164" fontId="0" fillId="0" borderId="0" xfId="0" applyNumberFormat="1" applyAlignment="1">
      <alignment wrapText="1"/>
    </xf>
    <xf numFmtId="165" fontId="9" fillId="3" borderId="2" xfId="0" applyNumberFormat="1" applyFont="1" applyFill="1" applyBorder="1" applyAlignment="1">
      <alignment wrapText="1"/>
    </xf>
    <xf numFmtId="165" fontId="9" fillId="4" borderId="2" xfId="0" applyNumberFormat="1" applyFont="1" applyFill="1" applyBorder="1" applyAlignment="1">
      <alignment wrapText="1"/>
    </xf>
    <xf numFmtId="165" fontId="9" fillId="13" borderId="2" xfId="0" applyNumberFormat="1" applyFont="1" applyFill="1" applyBorder="1" applyAlignment="1">
      <alignment wrapText="1"/>
    </xf>
    <xf numFmtId="165" fontId="18" fillId="2" borderId="2" xfId="0" applyNumberFormat="1" applyFont="1" applyFill="1" applyBorder="1" applyAlignment="1">
      <alignment wrapText="1"/>
    </xf>
    <xf numFmtId="164" fontId="0" fillId="3" borderId="2" xfId="0" applyNumberFormat="1" applyFill="1" applyBorder="1" applyAlignment="1">
      <alignment wrapText="1"/>
    </xf>
    <xf numFmtId="1" fontId="18"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center" wrapText="1"/>
    </xf>
    <xf numFmtId="0" fontId="3" fillId="0" borderId="0" xfId="0" applyFont="1" applyAlignment="1">
      <alignment wrapText="1"/>
    </xf>
    <xf numFmtId="0" fontId="5" fillId="3" borderId="0" xfId="0" applyFont="1" applyFill="1" applyAlignment="1">
      <alignment horizontal="left" vertical="center" wrapText="1" indent="1"/>
    </xf>
    <xf numFmtId="0" fontId="5" fillId="4" borderId="0" xfId="0" applyFont="1" applyFill="1" applyAlignment="1">
      <alignment horizontal="left" vertical="center" wrapText="1" indent="1"/>
    </xf>
    <xf numFmtId="0" fontId="5" fillId="5" borderId="0" xfId="0" applyFont="1" applyFill="1" applyAlignment="1">
      <alignment horizontal="left" vertical="center" wrapText="1" indent="1"/>
    </xf>
    <xf numFmtId="0" fontId="2" fillId="3" borderId="0" xfId="0" applyFont="1" applyFill="1" applyAlignment="1">
      <alignment horizontal="left" vertical="top" wrapText="1" indent="1"/>
    </xf>
    <xf numFmtId="0" fontId="2" fillId="4" borderId="0" xfId="0" applyFont="1" applyFill="1" applyAlignment="1">
      <alignment horizontal="left" vertical="top" wrapText="1" indent="1"/>
    </xf>
    <xf numFmtId="0" fontId="2" fillId="5" borderId="0" xfId="0" applyFont="1" applyFill="1" applyAlignment="1">
      <alignment horizontal="left" vertical="top" wrapText="1" indent="1"/>
    </xf>
    <xf numFmtId="0" fontId="6" fillId="0" borderId="0" xfId="0" applyFont="1" applyAlignment="1">
      <alignment wrapText="1"/>
    </xf>
    <xf numFmtId="0" fontId="7" fillId="2" borderId="0" xfId="0" applyFont="1" applyFill="1" applyAlignment="1">
      <alignment wrapText="1"/>
    </xf>
    <xf numFmtId="0" fontId="0" fillId="6" borderId="0" xfId="0" applyFill="1" applyAlignment="1">
      <alignment wrapText="1"/>
    </xf>
    <xf numFmtId="0" fontId="8" fillId="6" borderId="0" xfId="0" applyFont="1" applyFill="1" applyAlignment="1">
      <alignment wrapText="1"/>
    </xf>
    <xf numFmtId="0" fontId="9" fillId="6" borderId="0" xfId="0" applyFont="1" applyFill="1" applyAlignment="1">
      <alignment wrapText="1"/>
    </xf>
    <xf numFmtId="0" fontId="4"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548235"/>
      <rgbColor rgb="FF800080"/>
      <rgbColor rgb="FF008080"/>
      <rgbColor rgb="FFBFBFBF"/>
      <rgbColor rgb="FF7F7F7F"/>
      <rgbColor rgb="FF9999FF"/>
      <rgbColor rgb="FF993366"/>
      <rgbColor rgb="FFFFF3CD"/>
      <rgbColor rgb="FFE8F0E4"/>
      <rgbColor rgb="FF660066"/>
      <rgbColor rgb="FFFF8080"/>
      <rgbColor rgb="FF0563C1"/>
      <rgbColor rgb="FFD9D9D9"/>
      <rgbColor rgb="FF000080"/>
      <rgbColor rgb="FFFF00FF"/>
      <rgbColor rgb="FFF5F1E8"/>
      <rgbColor rgb="FF00FFFF"/>
      <rgbColor rgb="FF800080"/>
      <rgbColor rgb="FF800000"/>
      <rgbColor rgb="FF008080"/>
      <rgbColor rgb="FF0000FF"/>
      <rgbColor rgb="FF00CCFF"/>
      <rgbColor rgb="FFF2EFEA"/>
      <rgbColor rgb="FFC6EFCE"/>
      <rgbColor rgb="FFFFEB9C"/>
      <rgbColor rgb="FFC9C2B6"/>
      <rgbColor rgb="FFE7E6E6"/>
      <rgbColor rgb="FFEDE9E1"/>
      <rgbColor rgb="FFFFC7CE"/>
      <rgbColor rgb="FF3366FF"/>
      <rgbColor rgb="FF33CCCC"/>
      <rgbColor rgb="FF99CC00"/>
      <rgbColor rgb="FFFDECEA"/>
      <rgbColor rgb="FFBF8F00"/>
      <rgbColor rgb="FFED7D31"/>
      <rgbColor rgb="FF6E6257"/>
      <rgbColor rgb="FFB3B3B3"/>
      <rgbColor rgb="FF1F3864"/>
      <rgbColor rgb="FF4E7A3A"/>
      <rgbColor rgb="FF003300"/>
      <rgbColor rgb="FF333300"/>
      <rgbColor rgb="FF993300"/>
      <rgbColor rgb="FF993366"/>
      <rgbColor rgb="FF595959"/>
      <rgbColor rgb="FF2E26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GT" sz="1800" b="1" strike="noStrike" spc="-1">
                <a:solidFill>
                  <a:srgbClr val="000000"/>
                </a:solidFill>
                <a:latin typeface="Calibri"/>
              </a:rPr>
              <a:t>Venta semanal Q — 112 semanas (jul-2024 → ago-2026)</a:t>
            </a:r>
          </a:p>
        </c:rich>
      </c:tx>
      <c:overlay val="0"/>
      <c:spPr>
        <a:noFill/>
        <a:ln w="0">
          <a:noFill/>
        </a:ln>
      </c:spPr>
    </c:title>
    <c:autoTitleDeleted val="0"/>
    <c:plotArea>
      <c:layout/>
      <c:lineChart>
        <c:grouping val="standard"/>
        <c:varyColors val="0"/>
        <c:ser>
          <c:idx val="0"/>
          <c:order val="0"/>
          <c:tx>
            <c:strRef>
              <c:f>'HISTÓRICO 112 SEM'!$D$35</c:f>
              <c:strCache>
                <c:ptCount val="1"/>
                <c:pt idx="0">
                  <c:v>Venta Q</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s-GT"/>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'HISTÓRICO 112 SEM'!$B$36:$B$147</c:f>
              <c:numCache>
                <c:formatCode>0</c:formatCode>
                <c:ptCount val="112"/>
                <c:pt idx="0">
                  <c:v>202423</c:v>
                </c:pt>
                <c:pt idx="1">
                  <c:v>202424</c:v>
                </c:pt>
                <c:pt idx="2">
                  <c:v>202425</c:v>
                </c:pt>
                <c:pt idx="3">
                  <c:v>202426</c:v>
                </c:pt>
                <c:pt idx="4">
                  <c:v>202427</c:v>
                </c:pt>
                <c:pt idx="5">
                  <c:v>202428</c:v>
                </c:pt>
                <c:pt idx="6">
                  <c:v>202429</c:v>
                </c:pt>
                <c:pt idx="7">
                  <c:v>202430</c:v>
                </c:pt>
                <c:pt idx="8">
                  <c:v>202431</c:v>
                </c:pt>
                <c:pt idx="9">
                  <c:v>202432</c:v>
                </c:pt>
                <c:pt idx="10">
                  <c:v>202433</c:v>
                </c:pt>
                <c:pt idx="11">
                  <c:v>202434</c:v>
                </c:pt>
                <c:pt idx="12">
                  <c:v>202435</c:v>
                </c:pt>
                <c:pt idx="13">
                  <c:v>202436</c:v>
                </c:pt>
                <c:pt idx="14">
                  <c:v>202437</c:v>
                </c:pt>
                <c:pt idx="15">
                  <c:v>202438</c:v>
                </c:pt>
                <c:pt idx="16">
                  <c:v>202439</c:v>
                </c:pt>
                <c:pt idx="17">
                  <c:v>202440</c:v>
                </c:pt>
                <c:pt idx="18">
                  <c:v>202441</c:v>
                </c:pt>
                <c:pt idx="19">
                  <c:v>202442</c:v>
                </c:pt>
                <c:pt idx="20">
                  <c:v>202443</c:v>
                </c:pt>
                <c:pt idx="21">
                  <c:v>202444</c:v>
                </c:pt>
                <c:pt idx="22">
                  <c:v>202445</c:v>
                </c:pt>
                <c:pt idx="23">
                  <c:v>202446</c:v>
                </c:pt>
                <c:pt idx="24">
                  <c:v>202447</c:v>
                </c:pt>
                <c:pt idx="25">
                  <c:v>202448</c:v>
                </c:pt>
                <c:pt idx="26">
                  <c:v>202449</c:v>
                </c:pt>
                <c:pt idx="27">
                  <c:v>202450</c:v>
                </c:pt>
                <c:pt idx="28">
                  <c:v>202451</c:v>
                </c:pt>
                <c:pt idx="29">
                  <c:v>202452</c:v>
                </c:pt>
                <c:pt idx="30">
                  <c:v>202453</c:v>
                </c:pt>
                <c:pt idx="31">
                  <c:v>202501</c:v>
                </c:pt>
                <c:pt idx="32">
                  <c:v>202502</c:v>
                </c:pt>
                <c:pt idx="33">
                  <c:v>202503</c:v>
                </c:pt>
                <c:pt idx="34">
                  <c:v>202504</c:v>
                </c:pt>
                <c:pt idx="35">
                  <c:v>202505</c:v>
                </c:pt>
                <c:pt idx="36">
                  <c:v>202506</c:v>
                </c:pt>
                <c:pt idx="37">
                  <c:v>202507</c:v>
                </c:pt>
                <c:pt idx="38">
                  <c:v>202508</c:v>
                </c:pt>
                <c:pt idx="39">
                  <c:v>202509</c:v>
                </c:pt>
                <c:pt idx="40">
                  <c:v>202510</c:v>
                </c:pt>
                <c:pt idx="41">
                  <c:v>202511</c:v>
                </c:pt>
                <c:pt idx="42">
                  <c:v>202512</c:v>
                </c:pt>
                <c:pt idx="43">
                  <c:v>202513</c:v>
                </c:pt>
                <c:pt idx="44">
                  <c:v>202514</c:v>
                </c:pt>
                <c:pt idx="45">
                  <c:v>202515</c:v>
                </c:pt>
                <c:pt idx="46">
                  <c:v>202516</c:v>
                </c:pt>
                <c:pt idx="47">
                  <c:v>202517</c:v>
                </c:pt>
                <c:pt idx="48">
                  <c:v>202518</c:v>
                </c:pt>
                <c:pt idx="49">
                  <c:v>202519</c:v>
                </c:pt>
                <c:pt idx="50">
                  <c:v>202520</c:v>
                </c:pt>
                <c:pt idx="51">
                  <c:v>202521</c:v>
                </c:pt>
                <c:pt idx="52">
                  <c:v>202522</c:v>
                </c:pt>
                <c:pt idx="53">
                  <c:v>202523</c:v>
                </c:pt>
                <c:pt idx="54">
                  <c:v>202524</c:v>
                </c:pt>
                <c:pt idx="55">
                  <c:v>202525</c:v>
                </c:pt>
                <c:pt idx="56">
                  <c:v>202526</c:v>
                </c:pt>
                <c:pt idx="57">
                  <c:v>202527</c:v>
                </c:pt>
                <c:pt idx="58">
                  <c:v>202528</c:v>
                </c:pt>
                <c:pt idx="59">
                  <c:v>202529</c:v>
                </c:pt>
                <c:pt idx="60">
                  <c:v>202530</c:v>
                </c:pt>
                <c:pt idx="61">
                  <c:v>202531</c:v>
                </c:pt>
                <c:pt idx="62">
                  <c:v>202532</c:v>
                </c:pt>
                <c:pt idx="63">
                  <c:v>202533</c:v>
                </c:pt>
                <c:pt idx="64">
                  <c:v>202534</c:v>
                </c:pt>
                <c:pt idx="65">
                  <c:v>202535</c:v>
                </c:pt>
                <c:pt idx="66">
                  <c:v>202536</c:v>
                </c:pt>
                <c:pt idx="67">
                  <c:v>202537</c:v>
                </c:pt>
                <c:pt idx="68">
                  <c:v>202538</c:v>
                </c:pt>
                <c:pt idx="69">
                  <c:v>202539</c:v>
                </c:pt>
                <c:pt idx="70">
                  <c:v>202540</c:v>
                </c:pt>
                <c:pt idx="71">
                  <c:v>202541</c:v>
                </c:pt>
                <c:pt idx="72">
                  <c:v>202542</c:v>
                </c:pt>
                <c:pt idx="73">
                  <c:v>202543</c:v>
                </c:pt>
                <c:pt idx="74">
                  <c:v>202544</c:v>
                </c:pt>
                <c:pt idx="75">
                  <c:v>202545</c:v>
                </c:pt>
                <c:pt idx="76">
                  <c:v>202546</c:v>
                </c:pt>
                <c:pt idx="77">
                  <c:v>202547</c:v>
                </c:pt>
                <c:pt idx="78">
                  <c:v>202548</c:v>
                </c:pt>
                <c:pt idx="79">
                  <c:v>202549</c:v>
                </c:pt>
                <c:pt idx="80">
                  <c:v>202550</c:v>
                </c:pt>
                <c:pt idx="81">
                  <c:v>202551</c:v>
                </c:pt>
                <c:pt idx="82">
                  <c:v>202552</c:v>
                </c:pt>
                <c:pt idx="83">
                  <c:v>202601</c:v>
                </c:pt>
                <c:pt idx="84">
                  <c:v>202602</c:v>
                </c:pt>
                <c:pt idx="85">
                  <c:v>202603</c:v>
                </c:pt>
                <c:pt idx="86">
                  <c:v>202604</c:v>
                </c:pt>
                <c:pt idx="87">
                  <c:v>202605</c:v>
                </c:pt>
                <c:pt idx="88">
                  <c:v>202606</c:v>
                </c:pt>
                <c:pt idx="89">
                  <c:v>202607</c:v>
                </c:pt>
                <c:pt idx="90">
                  <c:v>202608</c:v>
                </c:pt>
                <c:pt idx="91">
                  <c:v>202609</c:v>
                </c:pt>
                <c:pt idx="92">
                  <c:v>202610</c:v>
                </c:pt>
                <c:pt idx="93">
                  <c:v>202611</c:v>
                </c:pt>
                <c:pt idx="94">
                  <c:v>202612</c:v>
                </c:pt>
                <c:pt idx="95">
                  <c:v>202613</c:v>
                </c:pt>
                <c:pt idx="96">
                  <c:v>202614</c:v>
                </c:pt>
                <c:pt idx="97">
                  <c:v>202615</c:v>
                </c:pt>
                <c:pt idx="98">
                  <c:v>202616</c:v>
                </c:pt>
                <c:pt idx="99">
                  <c:v>202617</c:v>
                </c:pt>
                <c:pt idx="100">
                  <c:v>202618</c:v>
                </c:pt>
                <c:pt idx="101">
                  <c:v>202619</c:v>
                </c:pt>
                <c:pt idx="102">
                  <c:v>202620</c:v>
                </c:pt>
                <c:pt idx="103">
                  <c:v>202621</c:v>
                </c:pt>
                <c:pt idx="104">
                  <c:v>202622</c:v>
                </c:pt>
                <c:pt idx="105">
                  <c:v>202623</c:v>
                </c:pt>
                <c:pt idx="106">
                  <c:v>202624</c:v>
                </c:pt>
                <c:pt idx="107">
                  <c:v>202625</c:v>
                </c:pt>
                <c:pt idx="108">
                  <c:v>202626</c:v>
                </c:pt>
                <c:pt idx="109">
                  <c:v>202627</c:v>
                </c:pt>
                <c:pt idx="110">
                  <c:v>202628</c:v>
                </c:pt>
                <c:pt idx="111">
                  <c:v>202629</c:v>
                </c:pt>
              </c:numCache>
            </c:numRef>
          </c:cat>
          <c:val>
            <c:numRef>
              <c:f>'HISTÓRICO 112 SEM'!$D$36:$D$147</c:f>
              <c:numCache>
                <c:formatCode>\Q#,##0;"(Q"#,##0\);\-</c:formatCode>
                <c:ptCount val="112"/>
                <c:pt idx="0">
                  <c:v>519.66999999999996</c:v>
                </c:pt>
                <c:pt idx="1">
                  <c:v>8022.87</c:v>
                </c:pt>
                <c:pt idx="2">
                  <c:v>8759.49</c:v>
                </c:pt>
                <c:pt idx="3">
                  <c:v>6313.85</c:v>
                </c:pt>
                <c:pt idx="4">
                  <c:v>4824.41</c:v>
                </c:pt>
                <c:pt idx="5">
                  <c:v>4411.8999999999996</c:v>
                </c:pt>
                <c:pt idx="6">
                  <c:v>11173.01</c:v>
                </c:pt>
                <c:pt idx="7">
                  <c:v>22063.1</c:v>
                </c:pt>
                <c:pt idx="8">
                  <c:v>24601.48</c:v>
                </c:pt>
                <c:pt idx="9">
                  <c:v>27905.599999999999</c:v>
                </c:pt>
                <c:pt idx="10">
                  <c:v>25607.16</c:v>
                </c:pt>
                <c:pt idx="11">
                  <c:v>25877.68</c:v>
                </c:pt>
                <c:pt idx="12">
                  <c:v>23193.73</c:v>
                </c:pt>
                <c:pt idx="13">
                  <c:v>36676.06</c:v>
                </c:pt>
                <c:pt idx="14">
                  <c:v>35549.300000000003</c:v>
                </c:pt>
                <c:pt idx="15">
                  <c:v>31941.73</c:v>
                </c:pt>
                <c:pt idx="16">
                  <c:v>29082.35</c:v>
                </c:pt>
                <c:pt idx="17">
                  <c:v>30436.41</c:v>
                </c:pt>
                <c:pt idx="18">
                  <c:v>20837.14</c:v>
                </c:pt>
                <c:pt idx="19">
                  <c:v>16509.75</c:v>
                </c:pt>
                <c:pt idx="20">
                  <c:v>18116.97</c:v>
                </c:pt>
                <c:pt idx="21">
                  <c:v>20975.01</c:v>
                </c:pt>
                <c:pt idx="22">
                  <c:v>18579.71</c:v>
                </c:pt>
                <c:pt idx="23">
                  <c:v>18515.900000000001</c:v>
                </c:pt>
                <c:pt idx="24">
                  <c:v>35233.47</c:v>
                </c:pt>
                <c:pt idx="25">
                  <c:v>45353.95</c:v>
                </c:pt>
                <c:pt idx="26">
                  <c:v>33727.800000000003</c:v>
                </c:pt>
                <c:pt idx="27">
                  <c:v>11887.42</c:v>
                </c:pt>
                <c:pt idx="28">
                  <c:v>15647.71</c:v>
                </c:pt>
                <c:pt idx="29">
                  <c:v>12034.2</c:v>
                </c:pt>
                <c:pt idx="30">
                  <c:v>10678.66</c:v>
                </c:pt>
                <c:pt idx="31">
                  <c:v>11586.79</c:v>
                </c:pt>
                <c:pt idx="32">
                  <c:v>14015.31</c:v>
                </c:pt>
                <c:pt idx="33">
                  <c:v>15206.99</c:v>
                </c:pt>
                <c:pt idx="34">
                  <c:v>15813.64</c:v>
                </c:pt>
                <c:pt idx="35">
                  <c:v>13302.34</c:v>
                </c:pt>
                <c:pt idx="36">
                  <c:v>16026.22</c:v>
                </c:pt>
                <c:pt idx="37">
                  <c:v>12380.73</c:v>
                </c:pt>
                <c:pt idx="38">
                  <c:v>15874.7</c:v>
                </c:pt>
                <c:pt idx="39">
                  <c:v>16337.06</c:v>
                </c:pt>
                <c:pt idx="40">
                  <c:v>15983.16</c:v>
                </c:pt>
                <c:pt idx="41">
                  <c:v>27006.07</c:v>
                </c:pt>
                <c:pt idx="42">
                  <c:v>12735.12</c:v>
                </c:pt>
                <c:pt idx="43">
                  <c:v>15479.81</c:v>
                </c:pt>
                <c:pt idx="44">
                  <c:v>12971.32</c:v>
                </c:pt>
                <c:pt idx="45">
                  <c:v>13460.92</c:v>
                </c:pt>
                <c:pt idx="46">
                  <c:v>15091.24</c:v>
                </c:pt>
                <c:pt idx="47">
                  <c:v>10913.88</c:v>
                </c:pt>
                <c:pt idx="48">
                  <c:v>11676.33</c:v>
                </c:pt>
                <c:pt idx="49">
                  <c:v>11051.58</c:v>
                </c:pt>
                <c:pt idx="50">
                  <c:v>13146.24</c:v>
                </c:pt>
                <c:pt idx="51">
                  <c:v>9186.64</c:v>
                </c:pt>
                <c:pt idx="52">
                  <c:v>11712.03</c:v>
                </c:pt>
                <c:pt idx="53">
                  <c:v>12293.09</c:v>
                </c:pt>
                <c:pt idx="54">
                  <c:v>12684.59</c:v>
                </c:pt>
                <c:pt idx="55">
                  <c:v>14576.12</c:v>
                </c:pt>
                <c:pt idx="56">
                  <c:v>13192.34</c:v>
                </c:pt>
                <c:pt idx="57">
                  <c:v>11526.3</c:v>
                </c:pt>
                <c:pt idx="58">
                  <c:v>14979.5</c:v>
                </c:pt>
                <c:pt idx="59">
                  <c:v>10443.629999999999</c:v>
                </c:pt>
                <c:pt idx="60">
                  <c:v>13167.84</c:v>
                </c:pt>
                <c:pt idx="61">
                  <c:v>11360.67</c:v>
                </c:pt>
                <c:pt idx="62">
                  <c:v>9221.15</c:v>
                </c:pt>
                <c:pt idx="63">
                  <c:v>8629.3799999999992</c:v>
                </c:pt>
                <c:pt idx="64">
                  <c:v>6821.34</c:v>
                </c:pt>
                <c:pt idx="65">
                  <c:v>8362.9699999999993</c:v>
                </c:pt>
                <c:pt idx="66">
                  <c:v>9253.99</c:v>
                </c:pt>
                <c:pt idx="67">
                  <c:v>11544.46</c:v>
                </c:pt>
                <c:pt idx="68">
                  <c:v>8986.5300000000007</c:v>
                </c:pt>
                <c:pt idx="69">
                  <c:v>9070.24</c:v>
                </c:pt>
                <c:pt idx="70">
                  <c:v>6720.48</c:v>
                </c:pt>
                <c:pt idx="71">
                  <c:v>7077.06</c:v>
                </c:pt>
                <c:pt idx="72">
                  <c:v>8357.43</c:v>
                </c:pt>
                <c:pt idx="73">
                  <c:v>6757.54</c:v>
                </c:pt>
                <c:pt idx="74">
                  <c:v>8365.11</c:v>
                </c:pt>
                <c:pt idx="75">
                  <c:v>7702.92</c:v>
                </c:pt>
                <c:pt idx="76">
                  <c:v>7361.86</c:v>
                </c:pt>
                <c:pt idx="77">
                  <c:v>17669.04</c:v>
                </c:pt>
                <c:pt idx="78">
                  <c:v>12548.75</c:v>
                </c:pt>
                <c:pt idx="79">
                  <c:v>6785.01</c:v>
                </c:pt>
                <c:pt idx="80">
                  <c:v>9285.59</c:v>
                </c:pt>
                <c:pt idx="81">
                  <c:v>12181.97</c:v>
                </c:pt>
                <c:pt idx="82">
                  <c:v>13027.42</c:v>
                </c:pt>
                <c:pt idx="83">
                  <c:v>12120.25</c:v>
                </c:pt>
                <c:pt idx="84">
                  <c:v>12901.29</c:v>
                </c:pt>
                <c:pt idx="85">
                  <c:v>12175.92</c:v>
                </c:pt>
                <c:pt idx="86">
                  <c:v>13107.97</c:v>
                </c:pt>
                <c:pt idx="87">
                  <c:v>9794.86</c:v>
                </c:pt>
                <c:pt idx="88">
                  <c:v>11715.5</c:v>
                </c:pt>
                <c:pt idx="89">
                  <c:v>14150.57</c:v>
                </c:pt>
                <c:pt idx="90">
                  <c:v>12035.4</c:v>
                </c:pt>
                <c:pt idx="91">
                  <c:v>20613.2</c:v>
                </c:pt>
                <c:pt idx="92">
                  <c:v>10403.77</c:v>
                </c:pt>
                <c:pt idx="93">
                  <c:v>12832.28</c:v>
                </c:pt>
                <c:pt idx="94">
                  <c:v>12538.08</c:v>
                </c:pt>
                <c:pt idx="95">
                  <c:v>13629.15</c:v>
                </c:pt>
                <c:pt idx="96">
                  <c:v>9653.42</c:v>
                </c:pt>
                <c:pt idx="97">
                  <c:v>10778.66</c:v>
                </c:pt>
                <c:pt idx="98">
                  <c:v>10005.92</c:v>
                </c:pt>
                <c:pt idx="99">
                  <c:v>8406.64</c:v>
                </c:pt>
                <c:pt idx="100">
                  <c:v>8990.9</c:v>
                </c:pt>
                <c:pt idx="101">
                  <c:v>7050.86</c:v>
                </c:pt>
                <c:pt idx="102">
                  <c:v>10278.81</c:v>
                </c:pt>
                <c:pt idx="103">
                  <c:v>9733.34</c:v>
                </c:pt>
                <c:pt idx="104">
                  <c:v>7403.44</c:v>
                </c:pt>
                <c:pt idx="105">
                  <c:v>6742.83</c:v>
                </c:pt>
                <c:pt idx="106">
                  <c:v>7502.96</c:v>
                </c:pt>
                <c:pt idx="107">
                  <c:v>8693.0400000000009</c:v>
                </c:pt>
                <c:pt idx="108">
                  <c:v>7949.5</c:v>
                </c:pt>
                <c:pt idx="109">
                  <c:v>8474.84</c:v>
                </c:pt>
                <c:pt idx="110">
                  <c:v>10325.049999999999</c:v>
                </c:pt>
                <c:pt idx="111">
                  <c:v>10906</c:v>
                </c:pt>
              </c:numCache>
            </c:numRef>
          </c:val>
          <c:smooth val="1"/>
          <c:extLst>
            <c:ext xmlns:c16="http://schemas.microsoft.com/office/drawing/2014/chart" uri="{C3380CC4-5D6E-409C-BE32-E72D297353CC}">
              <c16:uniqueId val="{00000000-FC5D-4C8A-BA19-BBA69A6F7692}"/>
            </c:ext>
          </c:extLst>
        </c:ser>
        <c:dLbls>
          <c:showLegendKey val="0"/>
          <c:showVal val="0"/>
          <c:showCatName val="0"/>
          <c:showSerName val="0"/>
          <c:showPercent val="0"/>
          <c:showBubbleSize val="0"/>
        </c:dLbls>
        <c:hiLowLines>
          <c:spPr>
            <a:ln w="0">
              <a:noFill/>
            </a:ln>
          </c:spPr>
        </c:hiLowLines>
        <c:smooth val="0"/>
        <c:axId val="20542"/>
        <c:axId val="71895534"/>
      </c:lineChart>
      <c:catAx>
        <c:axId val="20542"/>
        <c:scaling>
          <c:orientation val="minMax"/>
        </c:scaling>
        <c:delete val="0"/>
        <c:axPos val="b"/>
        <c:title>
          <c:tx>
            <c:rich>
              <a:bodyPr rot="0"/>
              <a:lstStyle/>
              <a:p>
                <a:pPr>
                  <a:defRPr sz="1000" b="1" strike="noStrike" spc="-1">
                    <a:solidFill>
                      <a:srgbClr val="000000"/>
                    </a:solidFill>
                    <a:latin typeface="Calibri"/>
                  </a:defRPr>
                </a:pPr>
                <a:r>
                  <a:rPr lang="es-GT" sz="1000" b="1" strike="noStrike" spc="-1">
                    <a:solidFill>
                      <a:srgbClr val="000000"/>
                    </a:solidFill>
                    <a:latin typeface="Calibri"/>
                  </a:rPr>
                  <a:t>Semana Walmart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71895534"/>
        <c:crosses val="autoZero"/>
        <c:auto val="1"/>
        <c:lblAlgn val="ctr"/>
        <c:lblOffset val="100"/>
        <c:noMultiLvlLbl val="0"/>
      </c:catAx>
      <c:valAx>
        <c:axId val="7189553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GT" sz="1000" b="1" strike="noStrike" spc="-1">
                    <a:solidFill>
                      <a:srgbClr val="000000"/>
                    </a:solidFill>
                    <a:latin typeface="Calibri"/>
                  </a:rPr>
                  <a:t>Q (sin IVA)</a:t>
                </a:r>
              </a:p>
            </c:rich>
          </c:tx>
          <c:overlay val="0"/>
          <c:spPr>
            <a:noFill/>
            <a:ln w="0">
              <a:noFill/>
            </a:ln>
          </c:spPr>
        </c:title>
        <c:numFmt formatCode="\Q#,##0;&quot;(Q&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GT"/>
          </a:p>
        </c:txPr>
        <c:crossAx val="205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131040</xdr:rowOff>
    </xdr:from>
    <xdr:to>
      <xdr:col>24</xdr:col>
      <xdr:colOff>403200</xdr:colOff>
      <xdr:row>19</xdr:row>
      <xdr:rowOff>268500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2FB313-1FC3-4B80-B4A2-6C9020CF961D}">
  <we:reference id="29673e3c-d826-4f00-92ee-162334a52b1a" version="1.0.0.8" store="EXCatalog" storeType="EXCatalog"/>
  <we:alternateReferences>
    <we:reference id="WA200009404" version="1.0.0.8" store="es-ES" storeType="OMEX"/>
  </we:alternateReferences>
  <we:properties>
    <we:property name="claude.fileId" value="&quot;30c39eae-94fb-46ab-a1ce-7149f57d6b4a&quot;"/>
  </we:properties>
  <we:bindings/>
  <we:snapshot xmlns:r="http://schemas.openxmlformats.org/officeDocument/2006/relationships"/>
</we:webextension>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2:M45"/>
  <sheetViews>
    <sheetView showGridLines="0" tabSelected="1" zoomScale="98" zoomScaleNormal="100" workbookViewId="0"/>
  </sheetViews>
  <sheetFormatPr baseColWidth="10" defaultColWidth="8.6640625" defaultRowHeight="14.4" x14ac:dyDescent="0.3"/>
  <cols>
    <col min="1" max="2" width="3" customWidth="1"/>
    <col min="3" max="3" width="31.44140625" customWidth="1"/>
    <col min="4" max="4" width="27.77734375" customWidth="1"/>
    <col min="5" max="5" width="3.6640625" customWidth="1"/>
    <col min="6" max="6" width="29.6640625" customWidth="1"/>
    <col min="7" max="7" width="40.77734375" customWidth="1"/>
    <col min="8" max="8" width="3.6640625" customWidth="1"/>
    <col min="9" max="9" width="35.21875" customWidth="1"/>
    <col min="10" max="11" width="3.6640625" customWidth="1"/>
    <col min="12" max="12" width="33.33203125" customWidth="1"/>
    <col min="13" max="13" width="3.6640625" customWidth="1"/>
  </cols>
  <sheetData>
    <row r="2" spans="2:13" ht="24.6" x14ac:dyDescent="0.3">
      <c r="B2" s="175" t="s">
        <v>0</v>
      </c>
      <c r="C2" s="175"/>
      <c r="D2" s="175"/>
      <c r="E2" s="175"/>
      <c r="F2" s="175"/>
      <c r="G2" s="175"/>
      <c r="H2" s="175"/>
      <c r="I2" s="175"/>
      <c r="J2" s="175"/>
      <c r="K2" s="175"/>
      <c r="L2" s="131"/>
      <c r="M2" s="131"/>
    </row>
    <row r="3" spans="2:13" x14ac:dyDescent="0.3">
      <c r="B3" s="176" t="s">
        <v>1</v>
      </c>
      <c r="C3" s="176"/>
      <c r="D3" s="176"/>
      <c r="E3" s="176"/>
      <c r="F3" s="176"/>
      <c r="G3" s="176"/>
      <c r="H3" s="176"/>
      <c r="I3" s="176"/>
      <c r="J3" s="176"/>
      <c r="K3" s="176"/>
      <c r="L3" s="131"/>
      <c r="M3" s="131"/>
    </row>
    <row r="4" spans="2:13" x14ac:dyDescent="0.3">
      <c r="B4" s="177" t="s">
        <v>2</v>
      </c>
      <c r="C4" s="177"/>
      <c r="D4" s="177"/>
      <c r="E4" s="177"/>
      <c r="F4" s="177"/>
      <c r="G4" s="177"/>
      <c r="H4" s="177"/>
      <c r="I4" s="177"/>
      <c r="J4" s="177"/>
      <c r="K4" s="177"/>
      <c r="L4" s="131"/>
      <c r="M4" s="131"/>
    </row>
    <row r="5" spans="2:13" ht="19.95" customHeight="1" x14ac:dyDescent="0.3">
      <c r="B5" s="189" t="s">
        <v>3</v>
      </c>
      <c r="C5" s="131"/>
      <c r="D5" s="131"/>
      <c r="E5" s="131"/>
      <c r="F5" s="131"/>
      <c r="G5" s="131"/>
      <c r="H5" s="131"/>
      <c r="I5" s="131"/>
      <c r="J5" s="131"/>
      <c r="K5" s="131"/>
      <c r="L5" s="131"/>
      <c r="M5" s="131"/>
    </row>
    <row r="6" spans="2:13" ht="15.6" x14ac:dyDescent="0.3">
      <c r="B6" s="178" t="s">
        <v>4</v>
      </c>
      <c r="C6" s="178"/>
      <c r="D6" s="178"/>
      <c r="E6" s="179" t="s">
        <v>5</v>
      </c>
      <c r="F6" s="179"/>
      <c r="G6" s="179"/>
      <c r="H6" s="178" t="s">
        <v>6</v>
      </c>
      <c r="I6" s="178"/>
      <c r="J6" s="178"/>
      <c r="K6" s="180" t="s">
        <v>7</v>
      </c>
      <c r="L6" s="180"/>
      <c r="M6" s="180"/>
    </row>
    <row r="7" spans="2:13" x14ac:dyDescent="0.3">
      <c r="B7" s="181" t="s">
        <v>8</v>
      </c>
      <c r="C7" s="181"/>
      <c r="D7" s="181"/>
      <c r="E7" s="182" t="s">
        <v>9</v>
      </c>
      <c r="F7" s="182"/>
      <c r="G7" s="182"/>
      <c r="H7" s="181" t="s">
        <v>10</v>
      </c>
      <c r="I7" s="181"/>
      <c r="J7" s="181"/>
      <c r="K7" s="183" t="s">
        <v>11</v>
      </c>
      <c r="L7" s="183"/>
      <c r="M7" s="183"/>
    </row>
    <row r="8" spans="2:13" x14ac:dyDescent="0.3">
      <c r="B8" s="131"/>
      <c r="C8" s="131"/>
      <c r="D8" s="131"/>
      <c r="E8" s="131"/>
      <c r="F8" s="131"/>
      <c r="G8" s="131"/>
      <c r="H8" s="131"/>
      <c r="I8" s="131"/>
      <c r="J8" s="131"/>
      <c r="K8" s="131"/>
      <c r="L8" s="131"/>
      <c r="M8" s="131"/>
    </row>
    <row r="9" spans="2:13" ht="15.6" x14ac:dyDescent="0.3">
      <c r="B9" s="179" t="s">
        <v>12</v>
      </c>
      <c r="C9" s="179"/>
      <c r="D9" s="179"/>
      <c r="E9" s="180" t="s">
        <v>13</v>
      </c>
      <c r="F9" s="180"/>
      <c r="G9" s="180"/>
      <c r="H9" s="180" t="s">
        <v>14</v>
      </c>
      <c r="I9" s="180"/>
      <c r="J9" s="180"/>
      <c r="K9" s="180" t="s">
        <v>15</v>
      </c>
      <c r="L9" s="180"/>
      <c r="M9" s="180"/>
    </row>
    <row r="10" spans="2:13" x14ac:dyDescent="0.3">
      <c r="B10" s="182" t="s">
        <v>16</v>
      </c>
      <c r="C10" s="182"/>
      <c r="D10" s="182"/>
      <c r="E10" s="183" t="s">
        <v>17</v>
      </c>
      <c r="F10" s="183"/>
      <c r="G10" s="183"/>
      <c r="H10" s="183" t="s">
        <v>18</v>
      </c>
      <c r="I10" s="183"/>
      <c r="J10" s="183"/>
      <c r="K10" s="183" t="s">
        <v>19</v>
      </c>
      <c r="L10" s="183"/>
      <c r="M10" s="183"/>
    </row>
    <row r="11" spans="2:13" x14ac:dyDescent="0.3">
      <c r="B11" s="131"/>
      <c r="C11" s="131"/>
      <c r="D11" s="131"/>
      <c r="E11" s="131"/>
      <c r="F11" s="131"/>
      <c r="G11" s="131"/>
      <c r="H11" s="131"/>
      <c r="I11" s="131"/>
      <c r="J11" s="131"/>
      <c r="K11" s="131"/>
      <c r="L11" s="131"/>
      <c r="M11" s="131"/>
    </row>
    <row r="12" spans="2:13" x14ac:dyDescent="0.3">
      <c r="B12" s="184" t="s">
        <v>20</v>
      </c>
      <c r="C12" s="184"/>
      <c r="D12" s="184"/>
      <c r="E12" s="184"/>
      <c r="F12" s="184"/>
      <c r="G12" s="184"/>
      <c r="H12" s="184"/>
      <c r="I12" s="184"/>
      <c r="J12" s="184"/>
      <c r="K12" s="184"/>
      <c r="L12" s="131"/>
      <c r="M12" s="131"/>
    </row>
    <row r="13" spans="2:13" ht="24" customHeight="1" x14ac:dyDescent="0.3">
      <c r="B13" s="189" t="s">
        <v>21</v>
      </c>
      <c r="C13" s="131"/>
      <c r="D13" s="131"/>
      <c r="E13" s="131"/>
      <c r="F13" s="131"/>
      <c r="G13" s="131"/>
      <c r="H13" s="131"/>
      <c r="I13" s="131"/>
      <c r="J13" s="131"/>
      <c r="K13" s="131"/>
      <c r="L13" s="131"/>
      <c r="M13" s="131"/>
    </row>
    <row r="14" spans="2:13" x14ac:dyDescent="0.3">
      <c r="B14" s="185" t="s">
        <v>22</v>
      </c>
      <c r="C14" s="185"/>
      <c r="D14" s="185"/>
      <c r="E14" s="185"/>
      <c r="F14" s="185"/>
      <c r="G14" s="185"/>
      <c r="H14" s="185"/>
      <c r="I14" s="185"/>
      <c r="J14" s="185"/>
      <c r="K14" s="185"/>
      <c r="L14" s="131"/>
      <c r="M14" s="131"/>
    </row>
    <row r="15" spans="2:13" x14ac:dyDescent="0.3">
      <c r="B15" s="186"/>
      <c r="C15" s="187" t="s">
        <v>23</v>
      </c>
      <c r="D15" s="187"/>
      <c r="E15" s="187"/>
      <c r="F15" s="188" t="s">
        <v>24</v>
      </c>
      <c r="G15" s="188"/>
      <c r="H15" s="188"/>
      <c r="I15" s="188"/>
      <c r="J15" s="188"/>
      <c r="K15" s="188"/>
      <c r="L15" s="131"/>
      <c r="M15" s="131"/>
    </row>
    <row r="16" spans="2:13" x14ac:dyDescent="0.3">
      <c r="B16" s="186"/>
      <c r="C16" s="187" t="s">
        <v>25</v>
      </c>
      <c r="D16" s="187"/>
      <c r="E16" s="187"/>
      <c r="F16" s="188" t="s">
        <v>26</v>
      </c>
      <c r="G16" s="188"/>
      <c r="H16" s="188"/>
      <c r="I16" s="188"/>
      <c r="J16" s="188"/>
      <c r="K16" s="188"/>
      <c r="L16" s="131"/>
      <c r="M16" s="131"/>
    </row>
    <row r="17" spans="2:13" x14ac:dyDescent="0.3">
      <c r="B17" s="131"/>
      <c r="C17" s="131"/>
      <c r="D17" s="131"/>
      <c r="E17" s="131"/>
      <c r="F17" s="131"/>
      <c r="G17" s="131"/>
      <c r="H17" s="131"/>
      <c r="I17" s="131"/>
      <c r="J17" s="131"/>
      <c r="K17" s="131"/>
      <c r="L17" s="131"/>
      <c r="M17" s="131"/>
    </row>
    <row r="18" spans="2:13" x14ac:dyDescent="0.3">
      <c r="B18" s="185" t="s">
        <v>27</v>
      </c>
      <c r="C18" s="185"/>
      <c r="D18" s="185"/>
      <c r="E18" s="185"/>
      <c r="F18" s="185"/>
      <c r="G18" s="185"/>
      <c r="H18" s="185"/>
      <c r="I18" s="185"/>
      <c r="J18" s="185"/>
      <c r="K18" s="185"/>
      <c r="L18" s="131"/>
      <c r="M18" s="131"/>
    </row>
    <row r="19" spans="2:13" x14ac:dyDescent="0.3">
      <c r="B19" s="186"/>
      <c r="C19" s="187" t="s">
        <v>28</v>
      </c>
      <c r="D19" s="187"/>
      <c r="E19" s="187"/>
      <c r="F19" s="188" t="s">
        <v>29</v>
      </c>
      <c r="G19" s="188"/>
      <c r="H19" s="188"/>
      <c r="I19" s="188"/>
      <c r="J19" s="188"/>
      <c r="K19" s="188"/>
      <c r="L19" s="131"/>
      <c r="M19" s="131"/>
    </row>
    <row r="20" spans="2:13" x14ac:dyDescent="0.3">
      <c r="B20" s="186"/>
      <c r="C20" s="187" t="s">
        <v>30</v>
      </c>
      <c r="D20" s="187"/>
      <c r="E20" s="187"/>
      <c r="F20" s="188" t="s">
        <v>31</v>
      </c>
      <c r="G20" s="188"/>
      <c r="H20" s="188"/>
      <c r="I20" s="188"/>
      <c r="J20" s="188"/>
      <c r="K20" s="188"/>
      <c r="L20" s="131"/>
      <c r="M20" s="131"/>
    </row>
    <row r="21" spans="2:13" x14ac:dyDescent="0.3">
      <c r="B21" s="186"/>
      <c r="C21" s="187" t="s">
        <v>32</v>
      </c>
      <c r="D21" s="187"/>
      <c r="E21" s="187"/>
      <c r="F21" s="188" t="s">
        <v>33</v>
      </c>
      <c r="G21" s="188"/>
      <c r="H21" s="188"/>
      <c r="I21" s="188"/>
      <c r="J21" s="188"/>
      <c r="K21" s="188"/>
      <c r="L21" s="131"/>
      <c r="M21" s="131"/>
    </row>
    <row r="22" spans="2:13" x14ac:dyDescent="0.3">
      <c r="B22" s="186"/>
      <c r="C22" s="187" t="s">
        <v>34</v>
      </c>
      <c r="D22" s="187"/>
      <c r="E22" s="187"/>
      <c r="F22" s="188" t="s">
        <v>35</v>
      </c>
      <c r="G22" s="188"/>
      <c r="H22" s="188"/>
      <c r="I22" s="188"/>
      <c r="J22" s="188"/>
      <c r="K22" s="188"/>
      <c r="L22" s="131"/>
      <c r="M22" s="131"/>
    </row>
    <row r="23" spans="2:13" x14ac:dyDescent="0.3">
      <c r="B23" s="186"/>
      <c r="C23" s="187" t="s">
        <v>36</v>
      </c>
      <c r="D23" s="187"/>
      <c r="E23" s="187"/>
      <c r="F23" s="188" t="s">
        <v>37</v>
      </c>
      <c r="G23" s="188"/>
      <c r="H23" s="188"/>
      <c r="I23" s="188"/>
      <c r="J23" s="188"/>
      <c r="K23" s="188"/>
      <c r="L23" s="131"/>
      <c r="M23" s="131"/>
    </row>
    <row r="24" spans="2:13" ht="40.200000000000003" x14ac:dyDescent="0.3">
      <c r="B24" s="131"/>
      <c r="C24" s="137" t="s">
        <v>38</v>
      </c>
      <c r="D24" s="131"/>
      <c r="E24" s="131"/>
      <c r="F24" s="155" t="s">
        <v>39</v>
      </c>
      <c r="G24" s="131"/>
      <c r="H24" s="131"/>
      <c r="I24" s="131"/>
      <c r="J24" s="131"/>
      <c r="K24" s="131"/>
      <c r="L24" s="131"/>
      <c r="M24" s="131"/>
    </row>
    <row r="25" spans="2:13" x14ac:dyDescent="0.3">
      <c r="B25" s="185" t="s">
        <v>40</v>
      </c>
      <c r="C25" s="185"/>
      <c r="D25" s="185"/>
      <c r="E25" s="185"/>
      <c r="F25" s="185"/>
      <c r="G25" s="185"/>
      <c r="H25" s="185"/>
      <c r="I25" s="185"/>
      <c r="J25" s="185"/>
      <c r="K25" s="185"/>
      <c r="L25" s="131"/>
      <c r="M25" s="131"/>
    </row>
    <row r="26" spans="2:13" x14ac:dyDescent="0.3">
      <c r="B26" s="186"/>
      <c r="C26" s="187" t="s">
        <v>41</v>
      </c>
      <c r="D26" s="187"/>
      <c r="E26" s="187"/>
      <c r="F26" s="188" t="s">
        <v>42</v>
      </c>
      <c r="G26" s="188"/>
      <c r="H26" s="188"/>
      <c r="I26" s="188"/>
      <c r="J26" s="188"/>
      <c r="K26" s="188"/>
      <c r="L26" s="131"/>
      <c r="M26" s="131"/>
    </row>
    <row r="27" spans="2:13" x14ac:dyDescent="0.3">
      <c r="B27" s="186"/>
      <c r="C27" s="187" t="s">
        <v>43</v>
      </c>
      <c r="D27" s="187"/>
      <c r="E27" s="187"/>
      <c r="F27" s="188" t="s">
        <v>44</v>
      </c>
      <c r="G27" s="188"/>
      <c r="H27" s="188"/>
      <c r="I27" s="188"/>
      <c r="J27" s="188"/>
      <c r="K27" s="188"/>
      <c r="L27" s="131"/>
      <c r="M27" s="131"/>
    </row>
    <row r="28" spans="2:13" x14ac:dyDescent="0.3">
      <c r="B28" s="186"/>
      <c r="C28" s="187" t="s">
        <v>45</v>
      </c>
      <c r="D28" s="187"/>
      <c r="E28" s="187"/>
      <c r="F28" s="188" t="s">
        <v>46</v>
      </c>
      <c r="G28" s="188"/>
      <c r="H28" s="188"/>
      <c r="I28" s="188"/>
      <c r="J28" s="188"/>
      <c r="K28" s="188"/>
      <c r="L28" s="131"/>
      <c r="M28" s="131"/>
    </row>
    <row r="29" spans="2:13" x14ac:dyDescent="0.3">
      <c r="B29" s="186"/>
      <c r="C29" s="187" t="s">
        <v>47</v>
      </c>
      <c r="D29" s="187"/>
      <c r="E29" s="187"/>
      <c r="F29" s="188" t="s">
        <v>48</v>
      </c>
      <c r="G29" s="188"/>
      <c r="H29" s="188"/>
      <c r="I29" s="188"/>
      <c r="J29" s="188"/>
      <c r="K29" s="188"/>
      <c r="L29" s="131"/>
      <c r="M29" s="131"/>
    </row>
    <row r="30" spans="2:13" x14ac:dyDescent="0.3">
      <c r="B30" s="186"/>
      <c r="C30" s="187" t="s">
        <v>49</v>
      </c>
      <c r="D30" s="187"/>
      <c r="E30" s="187"/>
      <c r="F30" s="188" t="s">
        <v>50</v>
      </c>
      <c r="G30" s="188"/>
      <c r="H30" s="188"/>
      <c r="I30" s="188"/>
      <c r="J30" s="188"/>
      <c r="K30" s="188"/>
      <c r="L30" s="131"/>
      <c r="M30" s="131"/>
    </row>
    <row r="31" spans="2:13" ht="40.200000000000003" x14ac:dyDescent="0.3">
      <c r="B31" s="131"/>
      <c r="C31" s="137" t="s">
        <v>51</v>
      </c>
      <c r="D31" s="131"/>
      <c r="E31" s="131"/>
      <c r="F31" s="155" t="s">
        <v>52</v>
      </c>
      <c r="G31" s="131"/>
      <c r="H31" s="131"/>
      <c r="I31" s="131"/>
      <c r="J31" s="131"/>
      <c r="K31" s="131"/>
      <c r="L31" s="131"/>
      <c r="M31" s="131"/>
    </row>
    <row r="32" spans="2:13" x14ac:dyDescent="0.3">
      <c r="B32" s="185" t="s">
        <v>53</v>
      </c>
      <c r="C32" s="185"/>
      <c r="D32" s="185"/>
      <c r="E32" s="185"/>
      <c r="F32" s="185"/>
      <c r="G32" s="185"/>
      <c r="H32" s="185"/>
      <c r="I32" s="185"/>
      <c r="J32" s="185"/>
      <c r="K32" s="185"/>
      <c r="L32" s="131"/>
      <c r="M32" s="131"/>
    </row>
    <row r="33" spans="2:13" x14ac:dyDescent="0.3">
      <c r="B33" s="186"/>
      <c r="C33" s="187" t="s">
        <v>54</v>
      </c>
      <c r="D33" s="187"/>
      <c r="E33" s="187"/>
      <c r="F33" s="188" t="s">
        <v>55</v>
      </c>
      <c r="G33" s="188"/>
      <c r="H33" s="188"/>
      <c r="I33" s="188"/>
      <c r="J33" s="188"/>
      <c r="K33" s="188"/>
      <c r="L33" s="131"/>
      <c r="M33" s="131"/>
    </row>
    <row r="34" spans="2:13" x14ac:dyDescent="0.3">
      <c r="B34" s="186"/>
      <c r="C34" s="187" t="s">
        <v>56</v>
      </c>
      <c r="D34" s="187"/>
      <c r="E34" s="187"/>
      <c r="F34" s="188" t="s">
        <v>57</v>
      </c>
      <c r="G34" s="188"/>
      <c r="H34" s="188"/>
      <c r="I34" s="188"/>
      <c r="J34" s="188"/>
      <c r="K34" s="188"/>
      <c r="L34" s="131"/>
      <c r="M34" s="131"/>
    </row>
    <row r="35" spans="2:13" x14ac:dyDescent="0.3">
      <c r="B35" s="186"/>
      <c r="C35" s="187" t="s">
        <v>58</v>
      </c>
      <c r="D35" s="187"/>
      <c r="E35" s="187"/>
      <c r="F35" s="188" t="s">
        <v>59</v>
      </c>
      <c r="G35" s="188"/>
      <c r="H35" s="188"/>
      <c r="I35" s="188"/>
      <c r="J35" s="188"/>
      <c r="K35" s="188"/>
      <c r="L35" s="131"/>
      <c r="M35" s="131"/>
    </row>
    <row r="36" spans="2:13" x14ac:dyDescent="0.3">
      <c r="B36" s="186"/>
      <c r="C36" s="187" t="s">
        <v>60</v>
      </c>
      <c r="D36" s="187"/>
      <c r="E36" s="187"/>
      <c r="F36" s="188" t="s">
        <v>61</v>
      </c>
      <c r="G36" s="188"/>
      <c r="H36" s="188"/>
      <c r="I36" s="188"/>
      <c r="J36" s="188"/>
      <c r="K36" s="188"/>
      <c r="L36" s="131"/>
      <c r="M36" s="131"/>
    </row>
    <row r="37" spans="2:13" x14ac:dyDescent="0.3">
      <c r="B37" s="186"/>
      <c r="C37" s="187" t="s">
        <v>62</v>
      </c>
      <c r="D37" s="187"/>
      <c r="E37" s="187"/>
      <c r="F37" s="188" t="s">
        <v>63</v>
      </c>
      <c r="G37" s="188"/>
      <c r="H37" s="188"/>
      <c r="I37" s="188"/>
      <c r="J37" s="188"/>
      <c r="K37" s="188"/>
      <c r="L37" s="131"/>
      <c r="M37" s="131"/>
    </row>
    <row r="38" spans="2:13" x14ac:dyDescent="0.3">
      <c r="B38" s="131"/>
      <c r="C38" s="131"/>
      <c r="D38" s="131"/>
      <c r="E38" s="131"/>
      <c r="F38" s="131"/>
      <c r="G38" s="131"/>
      <c r="H38" s="131"/>
      <c r="I38" s="131"/>
      <c r="J38" s="131"/>
      <c r="K38" s="131"/>
      <c r="L38" s="131"/>
      <c r="M38" s="131"/>
    </row>
    <row r="39" spans="2:13" x14ac:dyDescent="0.3">
      <c r="B39" s="185" t="s">
        <v>64</v>
      </c>
      <c r="C39" s="185"/>
      <c r="D39" s="185"/>
      <c r="E39" s="185"/>
      <c r="F39" s="185"/>
      <c r="G39" s="185"/>
      <c r="H39" s="185"/>
      <c r="I39" s="185"/>
      <c r="J39" s="185"/>
      <c r="K39" s="185"/>
      <c r="L39" s="131"/>
      <c r="M39" s="131"/>
    </row>
    <row r="40" spans="2:13" x14ac:dyDescent="0.3">
      <c r="B40" s="186"/>
      <c r="C40" s="187" t="s">
        <v>65</v>
      </c>
      <c r="D40" s="187"/>
      <c r="E40" s="187"/>
      <c r="F40" s="188" t="s">
        <v>66</v>
      </c>
      <c r="G40" s="188"/>
      <c r="H40" s="188"/>
      <c r="I40" s="188"/>
      <c r="J40" s="188"/>
      <c r="K40" s="188"/>
      <c r="L40" s="131"/>
      <c r="M40" s="131"/>
    </row>
    <row r="41" spans="2:13" x14ac:dyDescent="0.3">
      <c r="B41" s="186"/>
      <c r="C41" s="187" t="s">
        <v>67</v>
      </c>
      <c r="D41" s="187"/>
      <c r="E41" s="187"/>
      <c r="F41" s="188" t="s">
        <v>68</v>
      </c>
      <c r="G41" s="188"/>
      <c r="H41" s="188"/>
      <c r="I41" s="188"/>
      <c r="J41" s="188"/>
      <c r="K41" s="188"/>
      <c r="L41" s="131"/>
      <c r="M41" s="131"/>
    </row>
    <row r="42" spans="2:13" x14ac:dyDescent="0.3">
      <c r="B42" s="186"/>
      <c r="C42" s="187" t="s">
        <v>69</v>
      </c>
      <c r="D42" s="187"/>
      <c r="E42" s="187"/>
      <c r="F42" s="188" t="s">
        <v>70</v>
      </c>
      <c r="G42" s="188"/>
      <c r="H42" s="188"/>
      <c r="I42" s="188"/>
      <c r="J42" s="188"/>
      <c r="K42" s="188"/>
      <c r="L42" s="131"/>
      <c r="M42" s="131"/>
    </row>
    <row r="43" spans="2:13" x14ac:dyDescent="0.3">
      <c r="B43" s="131"/>
      <c r="C43" s="131"/>
      <c r="D43" s="131"/>
      <c r="E43" s="131"/>
      <c r="F43" s="131"/>
      <c r="G43" s="131"/>
      <c r="H43" s="131"/>
      <c r="I43" s="131"/>
      <c r="J43" s="131"/>
      <c r="K43" s="131"/>
      <c r="L43" s="131"/>
      <c r="M43" s="131"/>
    </row>
    <row r="44" spans="2:13" x14ac:dyDescent="0.3">
      <c r="B44" s="1" t="s">
        <v>71</v>
      </c>
      <c r="C44" s="1"/>
      <c r="D44" s="1"/>
      <c r="E44" s="1"/>
      <c r="F44" s="1"/>
      <c r="G44" s="1"/>
      <c r="H44" s="1"/>
      <c r="I44" s="1"/>
      <c r="J44" s="1"/>
      <c r="K44" s="1"/>
      <c r="L44" s="131"/>
      <c r="M44" s="131"/>
    </row>
    <row r="45" spans="2:13" x14ac:dyDescent="0.3">
      <c r="B45" s="1"/>
      <c r="C45" s="1"/>
      <c r="D45" s="1"/>
      <c r="E45" s="1"/>
      <c r="F45" s="1"/>
      <c r="G45" s="1"/>
      <c r="H45" s="1"/>
      <c r="I45" s="1"/>
      <c r="J45" s="1"/>
      <c r="K45" s="1"/>
      <c r="L45" s="131"/>
      <c r="M45" s="131"/>
    </row>
  </sheetData>
  <mergeCells count="66">
    <mergeCell ref="C42:E42"/>
    <mergeCell ref="F42:K42"/>
    <mergeCell ref="B44:K45"/>
    <mergeCell ref="B39:K39"/>
    <mergeCell ref="C40:E40"/>
    <mergeCell ref="F40:K40"/>
    <mergeCell ref="C41:E41"/>
    <mergeCell ref="F41:K41"/>
    <mergeCell ref="C35:E35"/>
    <mergeCell ref="F35:K35"/>
    <mergeCell ref="C36:E36"/>
    <mergeCell ref="F36:K36"/>
    <mergeCell ref="C37:E37"/>
    <mergeCell ref="F37:K37"/>
    <mergeCell ref="B32:K32"/>
    <mergeCell ref="C33:E33"/>
    <mergeCell ref="F33:K33"/>
    <mergeCell ref="C34:E34"/>
    <mergeCell ref="F34:K34"/>
    <mergeCell ref="C28:E28"/>
    <mergeCell ref="F28:K28"/>
    <mergeCell ref="C29:E29"/>
    <mergeCell ref="F29:K29"/>
    <mergeCell ref="C30:E30"/>
    <mergeCell ref="F30:K30"/>
    <mergeCell ref="B25:K25"/>
    <mergeCell ref="C26:E26"/>
    <mergeCell ref="F26:K26"/>
    <mergeCell ref="C27:E27"/>
    <mergeCell ref="F27:K27"/>
    <mergeCell ref="C21:E21"/>
    <mergeCell ref="F21:K21"/>
    <mergeCell ref="C22:E22"/>
    <mergeCell ref="F22:K22"/>
    <mergeCell ref="C23:E23"/>
    <mergeCell ref="F23:K23"/>
    <mergeCell ref="B18:K18"/>
    <mergeCell ref="C19:E19"/>
    <mergeCell ref="F19:K19"/>
    <mergeCell ref="C20:E20"/>
    <mergeCell ref="F20:K20"/>
    <mergeCell ref="B14:K14"/>
    <mergeCell ref="C15:E15"/>
    <mergeCell ref="F15:K15"/>
    <mergeCell ref="C16:E16"/>
    <mergeCell ref="F16:K16"/>
    <mergeCell ref="B10:D10"/>
    <mergeCell ref="E10:G10"/>
    <mergeCell ref="H10:J10"/>
    <mergeCell ref="K10:M10"/>
    <mergeCell ref="B12:K12"/>
    <mergeCell ref="B7:D7"/>
    <mergeCell ref="E7:G7"/>
    <mergeCell ref="H7:J7"/>
    <mergeCell ref="K7:M7"/>
    <mergeCell ref="B9:D9"/>
    <mergeCell ref="E9:G9"/>
    <mergeCell ref="H9:J9"/>
    <mergeCell ref="K9:M9"/>
    <mergeCell ref="B2:K2"/>
    <mergeCell ref="B3:K3"/>
    <mergeCell ref="B4:K4"/>
    <mergeCell ref="B6:D6"/>
    <mergeCell ref="E6:G6"/>
    <mergeCell ref="H6:J6"/>
    <mergeCell ref="K6:M6"/>
  </mergeCells>
  <hyperlinks>
    <hyperlink ref="B4" location="'9. DATA CHECK'!A1" display="🧪 ¿Está todo al 100? → 9. DATA CHECK (qué falta y quién lo trae)" xr:uid="{00000000-0004-0000-0000-000000000000}"/>
    <hyperlink ref="B12" location="'TESIS'!A1" display="🎯 LA TESIS — por qué todo esto: la evidencia por pilar y los KPIs que la validan (clic)" xr:uid="{00000000-0004-0000-0000-000001000000}"/>
    <hyperlink ref="C15" location="'1. ACCIONES URGENTES'!A1" display="1. ACCIONES URGENTES" xr:uid="{00000000-0004-0000-0000-000002000000}"/>
    <hyperlink ref="C16" location="'2. BITÁCORA'!A1" display="2. BITÁCORA" xr:uid="{00000000-0004-0000-0000-000003000000}"/>
    <hyperlink ref="C19" location="'3. KPI SEMANAL'!A1" display="3. KPI SEMANAL" xr:uid="{00000000-0004-0000-0000-000004000000}"/>
    <hyperlink ref="C20" location="'Antes vs Después'!A1" display="Antes vs Después" xr:uid="{00000000-0004-0000-0000-000005000000}"/>
    <hyperlink ref="C21" location="'4. SELL-OUT'!A1" display="4. SELL-OUT" xr:uid="{00000000-0004-0000-0000-000006000000}"/>
    <hyperlink ref="C22" location="'5. SELL-THROUGH'!A1" display="5. SELL-THROUGH" xr:uid="{00000000-0004-0000-0000-000007000000}"/>
    <hyperlink ref="C23" location="'6. SELL-IN PIPELINE'!A1" display="6. SELL-IN PIPELINE" xr:uid="{00000000-0004-0000-0000-000008000000}"/>
    <hyperlink ref="C24" location="'HISTÓRICO 112 SEM'!A1" display="HISTÓRICO 112 SEM" xr:uid="{00000000-0004-0000-0000-000009000000}"/>
    <hyperlink ref="C26" location="'MAX SHELF (VNDR9)'!A1" display="MAX SHELF (VNDR9)" xr:uid="{00000000-0004-0000-0000-00000A000000}"/>
    <hyperlink ref="C27" location="'Modelo Pedido'!A1" display="Modelo Pedido" xr:uid="{00000000-0004-0000-0000-00000B000000}"/>
    <hyperlink ref="C28" location="'Prepedido Oktoberfest'!A1" display="Prepedido Oktoberfest" xr:uid="{00000000-0004-0000-0000-00000C000000}"/>
    <hyperlink ref="C29" location="'Liquidación'!A1" display="Liquidación" xr:uid="{00000000-0004-0000-0000-00000D000000}"/>
    <hyperlink ref="C30" location="'Vencimientos'!A1" display="Vencimientos" xr:uid="{00000000-0004-0000-0000-00000E000000}"/>
    <hyperlink ref="C31" location="'Inventario Clan (Odoo)'!A1" display="Inventario Clan (Odoo)" xr:uid="{00000000-0004-0000-0000-00000F000000}"/>
    <hyperlink ref="C33" location="'8. MERCADERISTAS'!A1" display="8. MERCADERISTAS" xr:uid="{00000000-0004-0000-0000-000010000000}"/>
    <hyperlink ref="C34" location="'Campo v2 (17 tiendas)'!A1" display="Campo v2 (17 tiendas)" xr:uid="{00000000-0004-0000-0000-000011000000}"/>
    <hyperlink ref="C35" location="'Verificación Campo'!A1" display="Verificación Campo" xr:uid="{00000000-0004-0000-0000-000012000000}"/>
    <hyperlink ref="C36" location="'Prioridad Tiendas'!A1" display="Prioridad Tiendas" xr:uid="{00000000-0004-0000-0000-000013000000}"/>
    <hyperlink ref="C37" location="'Plantilla Mercaderistas'!A1" display="Plantilla Mercaderistas" xr:uid="{00000000-0004-0000-0000-000014000000}"/>
    <hyperlink ref="C40" location="'7. CATÁLOGO'!A1" display="7. CATÁLOGO" xr:uid="{00000000-0004-0000-0000-000015000000}"/>
    <hyperlink ref="C41" location="'Resumen'!A1" display="Resumen" xr:uid="{00000000-0004-0000-0000-000016000000}"/>
    <hyperlink ref="C42" location="'Detalle 443 combos'!A1" display="Detalle 443 combos" xr:uid="{00000000-0004-0000-0000-000017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F44"/>
  <sheetViews>
    <sheetView showGridLines="0" zoomScale="88" zoomScaleNormal="100" workbookViewId="0"/>
  </sheetViews>
  <sheetFormatPr baseColWidth="10" defaultColWidth="8.6640625" defaultRowHeight="14.4" x14ac:dyDescent="0.3"/>
  <cols>
    <col min="1" max="1" width="7.33203125" bestFit="1" customWidth="1"/>
    <col min="2" max="3" width="40.77734375" customWidth="1"/>
    <col min="4" max="4" width="24.77734375" bestFit="1" customWidth="1"/>
    <col min="5" max="5" width="30.21875" bestFit="1" customWidth="1"/>
    <col min="6" max="6" width="15.77734375" bestFit="1" customWidth="1"/>
  </cols>
  <sheetData>
    <row r="1" spans="1:4" x14ac:dyDescent="0.3">
      <c r="A1" s="4" t="s">
        <v>72</v>
      </c>
      <c r="B1" s="131"/>
      <c r="C1" s="131"/>
    </row>
    <row r="2" spans="1:4" ht="57.6" x14ac:dyDescent="0.35">
      <c r="B2" s="132" t="s">
        <v>73</v>
      </c>
      <c r="C2" s="131"/>
    </row>
    <row r="3" spans="1:4" ht="58.2" x14ac:dyDescent="0.3">
      <c r="B3" s="133" t="s">
        <v>74</v>
      </c>
      <c r="C3" s="131"/>
    </row>
    <row r="4" spans="1:4" x14ac:dyDescent="0.3">
      <c r="B4" s="131"/>
      <c r="C4" s="131"/>
    </row>
    <row r="5" spans="1:4" ht="29.4" x14ac:dyDescent="0.3">
      <c r="B5" s="134" t="s">
        <v>75</v>
      </c>
      <c r="C5" s="131"/>
    </row>
    <row r="6" spans="1:4" x14ac:dyDescent="0.3">
      <c r="B6" s="5" t="s">
        <v>76</v>
      </c>
      <c r="C6" s="5" t="s">
        <v>77</v>
      </c>
      <c r="D6" s="5" t="s">
        <v>78</v>
      </c>
    </row>
    <row r="7" spans="1:4" ht="25.2" x14ac:dyDescent="0.3">
      <c r="B7" s="6" t="s">
        <v>79</v>
      </c>
      <c r="C7" s="6" t="s">
        <v>80</v>
      </c>
      <c r="D7" s="6" t="s">
        <v>38</v>
      </c>
    </row>
    <row r="8" spans="1:4" ht="25.2" x14ac:dyDescent="0.3">
      <c r="B8" s="7" t="s">
        <v>81</v>
      </c>
      <c r="C8" s="7" t="s">
        <v>82</v>
      </c>
      <c r="D8" s="7" t="s">
        <v>28</v>
      </c>
    </row>
    <row r="9" spans="1:4" ht="25.2" x14ac:dyDescent="0.3">
      <c r="B9" s="6" t="s">
        <v>83</v>
      </c>
      <c r="C9" s="6" t="s">
        <v>84</v>
      </c>
      <c r="D9" s="6" t="s">
        <v>32</v>
      </c>
    </row>
    <row r="10" spans="1:4" ht="37.799999999999997" x14ac:dyDescent="0.3">
      <c r="B10" s="7" t="s">
        <v>85</v>
      </c>
      <c r="C10" s="7" t="s">
        <v>86</v>
      </c>
      <c r="D10" s="7" t="s">
        <v>69</v>
      </c>
    </row>
    <row r="11" spans="1:4" ht="25.2" x14ac:dyDescent="0.3">
      <c r="B11" s="6" t="s">
        <v>87</v>
      </c>
      <c r="C11" s="6" t="s">
        <v>88</v>
      </c>
      <c r="D11" s="6" t="s">
        <v>38</v>
      </c>
    </row>
    <row r="12" spans="1:4" x14ac:dyDescent="0.3">
      <c r="B12" s="131"/>
      <c r="C12" s="131"/>
    </row>
    <row r="13" spans="1:4" ht="43.8" x14ac:dyDescent="0.3">
      <c r="B13" s="135" t="s">
        <v>89</v>
      </c>
      <c r="C13" s="131"/>
    </row>
    <row r="14" spans="1:4" x14ac:dyDescent="0.3">
      <c r="B14" s="5" t="s">
        <v>76</v>
      </c>
      <c r="C14" s="5" t="s">
        <v>77</v>
      </c>
      <c r="D14" s="5" t="s">
        <v>78</v>
      </c>
    </row>
    <row r="15" spans="1:4" ht="50.4" x14ac:dyDescent="0.3">
      <c r="B15" s="6" t="s">
        <v>90</v>
      </c>
      <c r="C15" s="6" t="s">
        <v>91</v>
      </c>
      <c r="D15" s="6" t="s">
        <v>56</v>
      </c>
    </row>
    <row r="16" spans="1:4" ht="37.799999999999997" x14ac:dyDescent="0.3">
      <c r="B16" s="7" t="s">
        <v>92</v>
      </c>
      <c r="C16" s="7" t="s">
        <v>93</v>
      </c>
      <c r="D16" s="7" t="s">
        <v>30</v>
      </c>
    </row>
    <row r="17" spans="2:6" ht="25.2" x14ac:dyDescent="0.3">
      <c r="B17" s="6" t="s">
        <v>94</v>
      </c>
      <c r="C17" s="6" t="s">
        <v>95</v>
      </c>
      <c r="D17" s="6" t="s">
        <v>28</v>
      </c>
    </row>
    <row r="18" spans="2:6" ht="50.4" x14ac:dyDescent="0.3">
      <c r="B18" s="7" t="s">
        <v>96</v>
      </c>
      <c r="C18" s="7" t="s">
        <v>97</v>
      </c>
      <c r="D18" s="7" t="s">
        <v>30</v>
      </c>
    </row>
    <row r="19" spans="2:6" x14ac:dyDescent="0.3">
      <c r="B19" s="131"/>
      <c r="C19" s="131"/>
    </row>
    <row r="20" spans="2:6" ht="29.4" x14ac:dyDescent="0.3">
      <c r="B20" s="136" t="s">
        <v>98</v>
      </c>
      <c r="C20" s="131"/>
    </row>
    <row r="21" spans="2:6" x14ac:dyDescent="0.3">
      <c r="B21" s="5" t="s">
        <v>76</v>
      </c>
      <c r="C21" s="5" t="s">
        <v>77</v>
      </c>
      <c r="D21" s="5" t="s">
        <v>78</v>
      </c>
    </row>
    <row r="22" spans="2:6" ht="25.2" x14ac:dyDescent="0.3">
      <c r="B22" s="6" t="s">
        <v>99</v>
      </c>
      <c r="C22" s="6" t="s">
        <v>100</v>
      </c>
      <c r="D22" s="6" t="s">
        <v>38</v>
      </c>
    </row>
    <row r="23" spans="2:6" ht="37.799999999999997" x14ac:dyDescent="0.3">
      <c r="B23" s="7" t="s">
        <v>101</v>
      </c>
      <c r="C23" s="7" t="s">
        <v>102</v>
      </c>
      <c r="D23" s="7" t="s">
        <v>23</v>
      </c>
    </row>
    <row r="24" spans="2:6" ht="63" x14ac:dyDescent="0.3">
      <c r="B24" s="6" t="s">
        <v>103</v>
      </c>
      <c r="C24" s="6" t="s">
        <v>104</v>
      </c>
      <c r="D24" s="6" t="s">
        <v>51</v>
      </c>
    </row>
    <row r="25" spans="2:6" ht="37.799999999999997" x14ac:dyDescent="0.3">
      <c r="B25" s="7" t="s">
        <v>105</v>
      </c>
      <c r="C25" s="7" t="s">
        <v>106</v>
      </c>
      <c r="D25" s="7" t="s">
        <v>45</v>
      </c>
    </row>
    <row r="26" spans="2:6" x14ac:dyDescent="0.3">
      <c r="B26" s="131"/>
      <c r="C26" s="131"/>
    </row>
    <row r="27" spans="2:6" ht="29.4" x14ac:dyDescent="0.3">
      <c r="B27" s="136" t="s">
        <v>107</v>
      </c>
      <c r="C27" s="131"/>
    </row>
    <row r="28" spans="2:6" x14ac:dyDescent="0.3">
      <c r="B28" s="5" t="s">
        <v>108</v>
      </c>
      <c r="C28" s="5" t="s">
        <v>109</v>
      </c>
      <c r="D28" s="5" t="s">
        <v>110</v>
      </c>
      <c r="E28" s="5" t="s">
        <v>111</v>
      </c>
      <c r="F28" s="5" t="s">
        <v>112</v>
      </c>
    </row>
    <row r="29" spans="2:6" ht="25.2" x14ac:dyDescent="0.3">
      <c r="B29" s="6" t="s">
        <v>113</v>
      </c>
      <c r="C29" s="6" t="s">
        <v>114</v>
      </c>
      <c r="D29" s="6" t="s">
        <v>115</v>
      </c>
      <c r="E29" s="6" t="s">
        <v>116</v>
      </c>
      <c r="F29" s="6" t="s">
        <v>117</v>
      </c>
    </row>
    <row r="30" spans="2:6" x14ac:dyDescent="0.3">
      <c r="B30" s="7" t="s">
        <v>118</v>
      </c>
      <c r="C30" s="7" t="s">
        <v>119</v>
      </c>
      <c r="D30" s="7" t="s">
        <v>120</v>
      </c>
      <c r="E30" s="7" t="s">
        <v>121</v>
      </c>
      <c r="F30" s="7" t="s">
        <v>122</v>
      </c>
    </row>
    <row r="31" spans="2:6" x14ac:dyDescent="0.3">
      <c r="B31" s="6" t="s">
        <v>123</v>
      </c>
      <c r="C31" s="6" t="s">
        <v>124</v>
      </c>
      <c r="D31" s="6" t="s">
        <v>125</v>
      </c>
      <c r="E31" s="6" t="s">
        <v>126</v>
      </c>
      <c r="F31" s="6" t="s">
        <v>122</v>
      </c>
    </row>
    <row r="32" spans="2:6" x14ac:dyDescent="0.3">
      <c r="B32" s="7" t="s">
        <v>127</v>
      </c>
      <c r="C32" s="7" t="s">
        <v>128</v>
      </c>
      <c r="D32" s="7" t="s">
        <v>129</v>
      </c>
      <c r="E32" s="7" t="s">
        <v>130</v>
      </c>
      <c r="F32" s="7" t="s">
        <v>131</v>
      </c>
    </row>
    <row r="33" spans="2:6" x14ac:dyDescent="0.3">
      <c r="B33" s="6" t="s">
        <v>132</v>
      </c>
      <c r="C33" s="6" t="s">
        <v>133</v>
      </c>
      <c r="D33" s="6" t="s">
        <v>134</v>
      </c>
      <c r="E33" s="6" t="s">
        <v>135</v>
      </c>
      <c r="F33" s="6" t="s">
        <v>136</v>
      </c>
    </row>
    <row r="34" spans="2:6" x14ac:dyDescent="0.3">
      <c r="B34" s="7" t="s">
        <v>137</v>
      </c>
      <c r="C34" s="7" t="s">
        <v>138</v>
      </c>
      <c r="D34" s="7" t="s">
        <v>139</v>
      </c>
      <c r="E34" s="7" t="s">
        <v>140</v>
      </c>
      <c r="F34" s="7" t="s">
        <v>122</v>
      </c>
    </row>
    <row r="35" spans="2:6" x14ac:dyDescent="0.3">
      <c r="B35" s="131"/>
      <c r="C35" s="131"/>
    </row>
    <row r="36" spans="2:6" ht="29.4" x14ac:dyDescent="0.3">
      <c r="B36" s="136" t="s">
        <v>141</v>
      </c>
      <c r="C36" s="131"/>
    </row>
    <row r="37" spans="2:6" x14ac:dyDescent="0.3">
      <c r="B37" s="5" t="s">
        <v>142</v>
      </c>
      <c r="C37" s="5" t="s">
        <v>143</v>
      </c>
      <c r="D37" s="5" t="s">
        <v>144</v>
      </c>
    </row>
    <row r="38" spans="2:6" ht="37.799999999999997" x14ac:dyDescent="0.3">
      <c r="B38" s="6" t="s">
        <v>145</v>
      </c>
      <c r="C38" s="6" t="s">
        <v>146</v>
      </c>
      <c r="D38" s="6" t="s">
        <v>147</v>
      </c>
    </row>
    <row r="39" spans="2:6" ht="25.2" x14ac:dyDescent="0.3">
      <c r="B39" s="7" t="s">
        <v>148</v>
      </c>
      <c r="C39" s="7" t="s">
        <v>149</v>
      </c>
      <c r="D39" s="7" t="s">
        <v>150</v>
      </c>
    </row>
    <row r="40" spans="2:6" ht="25.2" x14ac:dyDescent="0.3">
      <c r="B40" s="6" t="s">
        <v>151</v>
      </c>
      <c r="C40" s="6" t="s">
        <v>152</v>
      </c>
      <c r="D40" s="6" t="s">
        <v>153</v>
      </c>
    </row>
    <row r="41" spans="2:6" ht="25.2" x14ac:dyDescent="0.3">
      <c r="B41" s="7" t="s">
        <v>154</v>
      </c>
      <c r="C41" s="7" t="s">
        <v>155</v>
      </c>
      <c r="D41" s="7" t="s">
        <v>156</v>
      </c>
    </row>
    <row r="42" spans="2:6" ht="25.2" x14ac:dyDescent="0.3">
      <c r="B42" s="6" t="s">
        <v>157</v>
      </c>
      <c r="C42" s="6" t="s">
        <v>158</v>
      </c>
      <c r="D42" s="6" t="s">
        <v>159</v>
      </c>
    </row>
    <row r="43" spans="2:6" x14ac:dyDescent="0.3">
      <c r="B43" s="131"/>
      <c r="C43" s="131"/>
    </row>
    <row r="44" spans="2:6" ht="46.8" x14ac:dyDescent="0.3">
      <c r="B44" s="133" t="s">
        <v>160</v>
      </c>
      <c r="C44" s="131"/>
    </row>
  </sheetData>
  <hyperlinks>
    <hyperlink ref="A1" location="'0. HUB'!A1" display="◀ HUB"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E50"/>
  <sheetViews>
    <sheetView showGridLines="0" topLeftCell="A24" zoomScaleNormal="100" workbookViewId="0"/>
  </sheetViews>
  <sheetFormatPr baseColWidth="10" defaultColWidth="8.6640625" defaultRowHeight="14.4" x14ac:dyDescent="0.3"/>
  <cols>
    <col min="1" max="4" width="40.77734375" customWidth="1"/>
    <col min="5" max="5" width="13.44140625" bestFit="1" customWidth="1"/>
  </cols>
  <sheetData>
    <row r="1" spans="1:5" ht="42" x14ac:dyDescent="0.4">
      <c r="A1" s="137" t="s">
        <v>72</v>
      </c>
      <c r="B1" s="139" t="s">
        <v>161</v>
      </c>
      <c r="C1" s="131"/>
      <c r="D1" s="131"/>
    </row>
    <row r="2" spans="1:5" ht="66.599999999999994" x14ac:dyDescent="0.3">
      <c r="A2" s="131"/>
      <c r="B2" s="47" t="s">
        <v>162</v>
      </c>
      <c r="C2" s="131"/>
      <c r="D2" s="131"/>
    </row>
    <row r="3" spans="1:5" x14ac:dyDescent="0.3">
      <c r="A3" s="131"/>
      <c r="B3" s="131"/>
      <c r="C3" s="131"/>
      <c r="D3" s="131"/>
    </row>
    <row r="4" spans="1:5" x14ac:dyDescent="0.3">
      <c r="A4" s="68" t="s">
        <v>163</v>
      </c>
      <c r="B4" s="131"/>
      <c r="C4" s="131"/>
      <c r="D4" s="131"/>
    </row>
    <row r="5" spans="1:5" x14ac:dyDescent="0.3">
      <c r="A5" s="10" t="s">
        <v>164</v>
      </c>
      <c r="B5" s="10" t="s">
        <v>165</v>
      </c>
      <c r="C5" s="10" t="s">
        <v>166</v>
      </c>
      <c r="D5" s="131"/>
    </row>
    <row r="6" spans="1:5" ht="26.4" x14ac:dyDescent="0.3">
      <c r="A6" s="11" t="s">
        <v>167</v>
      </c>
      <c r="B6" s="11" t="s">
        <v>168</v>
      </c>
      <c r="C6" s="11" t="s">
        <v>169</v>
      </c>
      <c r="D6" s="131"/>
    </row>
    <row r="7" spans="1:5" ht="26.4" x14ac:dyDescent="0.3">
      <c r="A7" s="11" t="s">
        <v>170</v>
      </c>
      <c r="B7" s="11" t="s">
        <v>171</v>
      </c>
      <c r="C7" s="11" t="s">
        <v>172</v>
      </c>
      <c r="D7" s="131"/>
    </row>
    <row r="8" spans="1:5" ht="26.4" x14ac:dyDescent="0.3">
      <c r="A8" s="11" t="s">
        <v>173</v>
      </c>
      <c r="B8" s="11" t="s">
        <v>174</v>
      </c>
      <c r="C8" s="11" t="s">
        <v>175</v>
      </c>
      <c r="D8" s="131"/>
    </row>
    <row r="9" spans="1:5" x14ac:dyDescent="0.3">
      <c r="A9" s="11" t="s">
        <v>176</v>
      </c>
      <c r="B9" s="11" t="s">
        <v>177</v>
      </c>
      <c r="C9" s="11" t="s">
        <v>178</v>
      </c>
      <c r="D9" s="131"/>
    </row>
    <row r="10" spans="1:5" ht="26.4" x14ac:dyDescent="0.3">
      <c r="A10" s="11" t="s">
        <v>179</v>
      </c>
      <c r="B10" s="11" t="s">
        <v>180</v>
      </c>
      <c r="C10" s="11" t="s">
        <v>181</v>
      </c>
      <c r="D10" s="131"/>
    </row>
    <row r="11" spans="1:5" x14ac:dyDescent="0.3">
      <c r="A11" s="11" t="s">
        <v>182</v>
      </c>
      <c r="B11" s="11" t="s">
        <v>183</v>
      </c>
      <c r="C11" s="11" t="s">
        <v>184</v>
      </c>
      <c r="D11" s="131"/>
    </row>
    <row r="12" spans="1:5" x14ac:dyDescent="0.3">
      <c r="A12" s="11" t="s">
        <v>185</v>
      </c>
      <c r="B12" s="11" t="s">
        <v>186</v>
      </c>
      <c r="C12" s="11" t="s">
        <v>187</v>
      </c>
      <c r="D12" s="131"/>
    </row>
    <row r="13" spans="1:5" ht="26.4" x14ac:dyDescent="0.3">
      <c r="A13" s="11" t="s">
        <v>188</v>
      </c>
      <c r="B13" s="11" t="s">
        <v>189</v>
      </c>
      <c r="C13" s="11" t="s">
        <v>190</v>
      </c>
      <c r="D13" s="131"/>
    </row>
    <row r="14" spans="1:5" ht="39.6" x14ac:dyDescent="0.3">
      <c r="A14" s="12" t="s">
        <v>191</v>
      </c>
      <c r="B14" s="12" t="s">
        <v>192</v>
      </c>
      <c r="C14" s="12" t="s">
        <v>193</v>
      </c>
      <c r="D14" s="131"/>
    </row>
    <row r="15" spans="1:5" ht="27" x14ac:dyDescent="0.3">
      <c r="A15" s="68" t="s">
        <v>194</v>
      </c>
      <c r="B15" s="131"/>
      <c r="C15" s="131"/>
      <c r="D15" s="131"/>
    </row>
    <row r="16" spans="1:5" x14ac:dyDescent="0.3">
      <c r="A16" s="10" t="s">
        <v>195</v>
      </c>
      <c r="B16" s="10" t="s">
        <v>196</v>
      </c>
      <c r="C16" s="10" t="s">
        <v>197</v>
      </c>
      <c r="D16" s="10" t="s">
        <v>198</v>
      </c>
      <c r="E16" s="10" t="s">
        <v>142</v>
      </c>
    </row>
    <row r="17" spans="1:5" ht="26.4" x14ac:dyDescent="0.3">
      <c r="A17" s="13">
        <v>1</v>
      </c>
      <c r="B17" s="13" t="s">
        <v>199</v>
      </c>
      <c r="C17" s="13" t="s">
        <v>200</v>
      </c>
      <c r="D17" s="13" t="s">
        <v>201</v>
      </c>
      <c r="E17" s="13" t="s">
        <v>202</v>
      </c>
    </row>
    <row r="18" spans="1:5" ht="39.6" x14ac:dyDescent="0.3">
      <c r="A18" s="11">
        <v>2</v>
      </c>
      <c r="B18" s="11" t="s">
        <v>203</v>
      </c>
      <c r="C18" s="11" t="s">
        <v>204</v>
      </c>
      <c r="D18" s="11" t="s">
        <v>205</v>
      </c>
      <c r="E18" s="11" t="s">
        <v>206</v>
      </c>
    </row>
    <row r="19" spans="1:5" ht="79.2" x14ac:dyDescent="0.3">
      <c r="A19" s="11">
        <v>3</v>
      </c>
      <c r="B19" s="14" t="s">
        <v>207</v>
      </c>
      <c r="C19" s="11" t="s">
        <v>208</v>
      </c>
      <c r="D19" s="11" t="s">
        <v>209</v>
      </c>
      <c r="E19" s="11" t="s">
        <v>206</v>
      </c>
    </row>
    <row r="20" spans="1:5" ht="39.6" x14ac:dyDescent="0.3">
      <c r="A20" s="13">
        <v>4</v>
      </c>
      <c r="B20" s="13" t="s">
        <v>210</v>
      </c>
      <c r="C20" s="13" t="s">
        <v>211</v>
      </c>
      <c r="D20" s="13" t="s">
        <v>212</v>
      </c>
      <c r="E20" s="13" t="s">
        <v>213</v>
      </c>
    </row>
    <row r="21" spans="1:5" ht="26.4" x14ac:dyDescent="0.3">
      <c r="A21" s="15">
        <v>5</v>
      </c>
      <c r="B21" s="15" t="s">
        <v>214</v>
      </c>
      <c r="C21" s="15" t="s">
        <v>215</v>
      </c>
      <c r="D21" s="15" t="s">
        <v>216</v>
      </c>
      <c r="E21" s="15" t="s">
        <v>206</v>
      </c>
    </row>
    <row r="22" spans="1:5" ht="26.4" x14ac:dyDescent="0.3">
      <c r="A22" s="15">
        <v>6</v>
      </c>
      <c r="B22" s="15" t="s">
        <v>217</v>
      </c>
      <c r="C22" s="15" t="s">
        <v>218</v>
      </c>
      <c r="D22" s="15" t="s">
        <v>219</v>
      </c>
      <c r="E22" s="15" t="s">
        <v>220</v>
      </c>
    </row>
    <row r="23" spans="1:5" ht="26.4" x14ac:dyDescent="0.3">
      <c r="A23" s="15">
        <v>7</v>
      </c>
      <c r="B23" s="15" t="s">
        <v>221</v>
      </c>
      <c r="C23" s="15" t="s">
        <v>222</v>
      </c>
      <c r="D23" s="15" t="s">
        <v>223</v>
      </c>
      <c r="E23" s="15" t="s">
        <v>224</v>
      </c>
    </row>
    <row r="24" spans="1:5" ht="26.4" x14ac:dyDescent="0.3">
      <c r="A24" s="15">
        <v>8</v>
      </c>
      <c r="B24" s="15" t="s">
        <v>225</v>
      </c>
      <c r="C24" s="15" t="s">
        <v>226</v>
      </c>
      <c r="D24" s="15" t="s">
        <v>227</v>
      </c>
      <c r="E24" s="15" t="s">
        <v>206</v>
      </c>
    </row>
    <row r="25" spans="1:5" ht="26.4" x14ac:dyDescent="0.3">
      <c r="A25" s="15">
        <v>9</v>
      </c>
      <c r="B25" s="15" t="s">
        <v>228</v>
      </c>
      <c r="C25" s="15" t="s">
        <v>229</v>
      </c>
      <c r="D25" s="15" t="s">
        <v>230</v>
      </c>
      <c r="E25" s="15" t="s">
        <v>231</v>
      </c>
    </row>
    <row r="26" spans="1:5" x14ac:dyDescent="0.3">
      <c r="A26" s="131"/>
      <c r="B26" s="131"/>
      <c r="C26" s="131"/>
      <c r="D26" s="131"/>
    </row>
    <row r="27" spans="1:5" ht="27" x14ac:dyDescent="0.3">
      <c r="A27" s="68" t="s">
        <v>232</v>
      </c>
      <c r="B27" s="131"/>
      <c r="C27" s="131"/>
      <c r="D27" s="131"/>
    </row>
    <row r="28" spans="1:5" x14ac:dyDescent="0.3">
      <c r="A28" s="138" t="s">
        <v>233</v>
      </c>
      <c r="B28" s="138"/>
      <c r="C28" s="138"/>
      <c r="D28" s="138"/>
      <c r="E28" s="125"/>
    </row>
    <row r="29" spans="1:5" x14ac:dyDescent="0.3">
      <c r="A29" s="126" t="s">
        <v>234</v>
      </c>
      <c r="B29" s="126"/>
      <c r="C29" s="126"/>
      <c r="D29" s="126"/>
      <c r="E29" s="126"/>
    </row>
    <row r="30" spans="1:5" x14ac:dyDescent="0.3">
      <c r="A30" s="138" t="s">
        <v>235</v>
      </c>
      <c r="B30" s="138"/>
      <c r="C30" s="138"/>
      <c r="D30" s="138"/>
      <c r="E30" s="125"/>
    </row>
    <row r="31" spans="1:5" x14ac:dyDescent="0.3">
      <c r="A31" s="126" t="s">
        <v>236</v>
      </c>
      <c r="B31" s="126"/>
      <c r="C31" s="126"/>
      <c r="D31" s="126"/>
      <c r="E31" s="126"/>
    </row>
    <row r="32" spans="1:5" x14ac:dyDescent="0.3">
      <c r="A32" s="138" t="s">
        <v>237</v>
      </c>
      <c r="B32" s="138"/>
      <c r="C32" s="138"/>
      <c r="D32" s="138"/>
      <c r="E32" s="125"/>
    </row>
    <row r="33" spans="1:5" x14ac:dyDescent="0.3">
      <c r="A33" s="126" t="s">
        <v>238</v>
      </c>
      <c r="B33" s="126"/>
      <c r="C33" s="126"/>
      <c r="D33" s="126"/>
      <c r="E33" s="126"/>
    </row>
    <row r="34" spans="1:5" x14ac:dyDescent="0.3">
      <c r="A34" s="138" t="s">
        <v>239</v>
      </c>
      <c r="B34" s="138"/>
      <c r="C34" s="138"/>
      <c r="D34" s="138"/>
      <c r="E34" s="125"/>
    </row>
    <row r="35" spans="1:5" x14ac:dyDescent="0.3">
      <c r="A35" s="126" t="s">
        <v>240</v>
      </c>
      <c r="B35" s="126"/>
      <c r="C35" s="126"/>
      <c r="D35" s="126"/>
      <c r="E35" s="126"/>
    </row>
    <row r="36" spans="1:5" x14ac:dyDescent="0.3">
      <c r="A36" s="131"/>
      <c r="B36" s="131"/>
      <c r="C36" s="131"/>
      <c r="D36" s="131"/>
    </row>
    <row r="37" spans="1:5" ht="27" x14ac:dyDescent="0.3">
      <c r="A37" s="68" t="s">
        <v>241</v>
      </c>
      <c r="B37" s="131"/>
      <c r="C37" s="131"/>
      <c r="D37" s="131"/>
    </row>
    <row r="38" spans="1:5" x14ac:dyDescent="0.3">
      <c r="A38" s="10" t="s">
        <v>242</v>
      </c>
      <c r="B38" s="10" t="s">
        <v>243</v>
      </c>
      <c r="C38" s="131"/>
      <c r="D38" s="131"/>
    </row>
    <row r="39" spans="1:5" ht="40.200000000000003" x14ac:dyDescent="0.3">
      <c r="A39" s="16" t="s">
        <v>244</v>
      </c>
      <c r="B39" s="140" t="s">
        <v>245</v>
      </c>
      <c r="C39" s="131"/>
      <c r="D39" s="131"/>
    </row>
    <row r="40" spans="1:5" x14ac:dyDescent="0.3">
      <c r="A40" s="16" t="s">
        <v>246</v>
      </c>
      <c r="B40" s="140" t="s">
        <v>247</v>
      </c>
      <c r="C40" s="131"/>
      <c r="D40" s="131"/>
    </row>
    <row r="41" spans="1:5" x14ac:dyDescent="0.3">
      <c r="A41" s="16" t="s">
        <v>248</v>
      </c>
      <c r="B41" s="140" t="s">
        <v>249</v>
      </c>
      <c r="C41" s="131"/>
      <c r="D41" s="131"/>
    </row>
    <row r="42" spans="1:5" ht="27" x14ac:dyDescent="0.3">
      <c r="A42" s="16" t="s">
        <v>250</v>
      </c>
      <c r="B42" s="140" t="s">
        <v>251</v>
      </c>
      <c r="C42" s="131"/>
      <c r="D42" s="131"/>
    </row>
    <row r="43" spans="1:5" ht="27" x14ac:dyDescent="0.3">
      <c r="A43" s="16" t="s">
        <v>252</v>
      </c>
      <c r="B43" s="140" t="s">
        <v>253</v>
      </c>
      <c r="C43" s="131"/>
      <c r="D43" s="131"/>
    </row>
    <row r="44" spans="1:5" ht="27" x14ac:dyDescent="0.3">
      <c r="A44" s="16" t="s">
        <v>254</v>
      </c>
      <c r="B44" s="140" t="s">
        <v>255</v>
      </c>
      <c r="C44" s="131"/>
      <c r="D44" s="131"/>
    </row>
    <row r="45" spans="1:5" ht="27" x14ac:dyDescent="0.3">
      <c r="A45" s="16" t="s">
        <v>256</v>
      </c>
      <c r="B45" s="140" t="s">
        <v>257</v>
      </c>
      <c r="C45" s="131"/>
      <c r="D45" s="131"/>
    </row>
    <row r="46" spans="1:5" ht="27" x14ac:dyDescent="0.3">
      <c r="A46" s="16" t="s">
        <v>258</v>
      </c>
      <c r="B46" s="141" t="s">
        <v>259</v>
      </c>
      <c r="C46" s="131"/>
      <c r="D46" s="131"/>
    </row>
    <row r="47" spans="1:5" ht="52.8" x14ac:dyDescent="0.3">
      <c r="A47" s="12" t="s">
        <v>260</v>
      </c>
      <c r="B47" s="19" t="s">
        <v>261</v>
      </c>
      <c r="C47" s="131"/>
      <c r="D47" s="131"/>
    </row>
    <row r="48" spans="1:5" ht="39.6" x14ac:dyDescent="0.3">
      <c r="A48" s="12" t="s">
        <v>262</v>
      </c>
      <c r="B48" s="20" t="s">
        <v>263</v>
      </c>
      <c r="C48" s="131"/>
      <c r="D48" s="131"/>
    </row>
    <row r="49" spans="1:4" ht="66" x14ac:dyDescent="0.3">
      <c r="A49" s="12" t="s">
        <v>264</v>
      </c>
      <c r="B49" s="19" t="s">
        <v>265</v>
      </c>
      <c r="C49" s="131"/>
      <c r="D49" s="131"/>
    </row>
    <row r="50" spans="1:4" ht="39.6" x14ac:dyDescent="0.3">
      <c r="A50" s="12" t="s">
        <v>266</v>
      </c>
      <c r="B50" s="21" t="s">
        <v>267</v>
      </c>
      <c r="C50" s="131"/>
      <c r="D50" s="131"/>
    </row>
  </sheetData>
  <mergeCells count="8">
    <mergeCell ref="A33:E33"/>
    <mergeCell ref="A34:E34"/>
    <mergeCell ref="A35:E35"/>
    <mergeCell ref="A28:E28"/>
    <mergeCell ref="A29:E29"/>
    <mergeCell ref="A30:E30"/>
    <mergeCell ref="A31:E31"/>
    <mergeCell ref="A32:E32"/>
  </mergeCells>
  <hyperlinks>
    <hyperlink ref="A1" location="'0. HUB'!A1" display="◀ HUB"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H18"/>
  <sheetViews>
    <sheetView showGridLines="0" zoomScaleNormal="100" workbookViewId="0">
      <pane ySplit="4" topLeftCell="A13" activePane="bottomLeft" state="frozen"/>
      <selection pane="bottomLeft"/>
    </sheetView>
  </sheetViews>
  <sheetFormatPr baseColWidth="10" defaultColWidth="8.6640625" defaultRowHeight="14.4" x14ac:dyDescent="0.3"/>
  <cols>
    <col min="1" max="1" width="12.6640625" bestFit="1" customWidth="1"/>
    <col min="2" max="3" width="40.77734375" customWidth="1"/>
    <col min="4" max="4" width="14.109375" bestFit="1" customWidth="1"/>
    <col min="5" max="5" width="19.33203125" bestFit="1" customWidth="1"/>
    <col min="6" max="6" width="29.88671875" bestFit="1" customWidth="1"/>
    <col min="7" max="7" width="15.77734375" bestFit="1" customWidth="1"/>
    <col min="8" max="8" width="17.6640625" bestFit="1" customWidth="1"/>
  </cols>
  <sheetData>
    <row r="1" spans="1:8" ht="42" x14ac:dyDescent="0.4">
      <c r="A1" s="2" t="s">
        <v>72</v>
      </c>
      <c r="B1" s="139" t="s">
        <v>268</v>
      </c>
      <c r="C1" s="131"/>
    </row>
    <row r="2" spans="1:8" ht="53.4" x14ac:dyDescent="0.3">
      <c r="B2" s="47" t="s">
        <v>269</v>
      </c>
      <c r="C2" s="131"/>
    </row>
    <row r="3" spans="1:8" x14ac:dyDescent="0.3">
      <c r="B3" s="131"/>
      <c r="C3" s="131"/>
    </row>
    <row r="4" spans="1:8" x14ac:dyDescent="0.3">
      <c r="A4" s="10" t="s">
        <v>270</v>
      </c>
      <c r="B4" s="10" t="s">
        <v>195</v>
      </c>
      <c r="C4" s="10" t="s">
        <v>271</v>
      </c>
      <c r="D4" s="10" t="s">
        <v>272</v>
      </c>
      <c r="E4" s="10" t="s">
        <v>273</v>
      </c>
      <c r="F4" s="10" t="s">
        <v>144</v>
      </c>
      <c r="G4" s="10" t="s">
        <v>274</v>
      </c>
      <c r="H4" s="10" t="s">
        <v>164</v>
      </c>
    </row>
    <row r="5" spans="1:8" ht="26.4" x14ac:dyDescent="0.3">
      <c r="A5" s="22" t="s">
        <v>275</v>
      </c>
      <c r="B5" s="22">
        <v>4</v>
      </c>
      <c r="C5" s="23" t="s">
        <v>276</v>
      </c>
      <c r="D5" s="23" t="s">
        <v>277</v>
      </c>
      <c r="E5" s="23" t="s">
        <v>278</v>
      </c>
      <c r="F5" s="23" t="s">
        <v>279</v>
      </c>
      <c r="G5" s="23" t="s">
        <v>280</v>
      </c>
      <c r="H5" s="23" t="s">
        <v>281</v>
      </c>
    </row>
    <row r="6" spans="1:8" ht="26.4" x14ac:dyDescent="0.3">
      <c r="A6" s="22" t="s">
        <v>275</v>
      </c>
      <c r="B6" s="22">
        <v>6</v>
      </c>
      <c r="C6" s="23" t="s">
        <v>282</v>
      </c>
      <c r="D6" s="23" t="s">
        <v>283</v>
      </c>
      <c r="E6" s="23" t="s">
        <v>284</v>
      </c>
      <c r="F6" s="23" t="s">
        <v>285</v>
      </c>
      <c r="G6" s="23" t="s">
        <v>286</v>
      </c>
      <c r="H6" s="23" t="s">
        <v>287</v>
      </c>
    </row>
    <row r="7" spans="1:8" ht="26.4" x14ac:dyDescent="0.3">
      <c r="A7" s="22" t="s">
        <v>275</v>
      </c>
      <c r="B7" s="22">
        <v>3</v>
      </c>
      <c r="C7" s="23" t="s">
        <v>288</v>
      </c>
      <c r="D7" s="23" t="s">
        <v>289</v>
      </c>
      <c r="E7" s="23" t="s">
        <v>290</v>
      </c>
      <c r="F7" s="23" t="s">
        <v>291</v>
      </c>
      <c r="G7" s="23" t="s">
        <v>292</v>
      </c>
      <c r="H7" s="23" t="s">
        <v>293</v>
      </c>
    </row>
    <row r="8" spans="1:8" ht="39.6" x14ac:dyDescent="0.3">
      <c r="A8" s="22" t="s">
        <v>275</v>
      </c>
      <c r="B8" s="22">
        <v>1</v>
      </c>
      <c r="C8" s="23" t="s">
        <v>294</v>
      </c>
      <c r="D8" s="23" t="s">
        <v>295</v>
      </c>
      <c r="E8" s="23" t="s">
        <v>296</v>
      </c>
      <c r="F8" s="23" t="s">
        <v>297</v>
      </c>
      <c r="G8" s="23" t="s">
        <v>213</v>
      </c>
      <c r="H8" s="23" t="s">
        <v>298</v>
      </c>
    </row>
    <row r="9" spans="1:8" ht="26.4" x14ac:dyDescent="0.3">
      <c r="A9" s="22" t="s">
        <v>275</v>
      </c>
      <c r="B9" s="22">
        <v>2</v>
      </c>
      <c r="C9" s="23" t="s">
        <v>299</v>
      </c>
      <c r="D9" s="23" t="s">
        <v>289</v>
      </c>
      <c r="E9" s="23" t="s">
        <v>300</v>
      </c>
      <c r="F9" s="23" t="s">
        <v>301</v>
      </c>
      <c r="G9" s="23" t="s">
        <v>213</v>
      </c>
      <c r="H9" s="23" t="s">
        <v>302</v>
      </c>
    </row>
    <row r="10" spans="1:8" ht="26.4" x14ac:dyDescent="0.3">
      <c r="A10" s="24" t="s">
        <v>303</v>
      </c>
      <c r="B10" s="24">
        <v>7</v>
      </c>
      <c r="C10" s="25" t="s">
        <v>304</v>
      </c>
      <c r="D10" s="25" t="s">
        <v>305</v>
      </c>
      <c r="E10" s="25" t="s">
        <v>296</v>
      </c>
      <c r="F10" s="25" t="s">
        <v>306</v>
      </c>
      <c r="G10" s="25" t="s">
        <v>307</v>
      </c>
      <c r="H10" s="25" t="s">
        <v>308</v>
      </c>
    </row>
    <row r="11" spans="1:8" ht="26.4" x14ac:dyDescent="0.3">
      <c r="A11" s="24" t="s">
        <v>303</v>
      </c>
      <c r="B11" s="24">
        <v>5</v>
      </c>
      <c r="C11" s="25" t="s">
        <v>309</v>
      </c>
      <c r="D11" s="25" t="s">
        <v>310</v>
      </c>
      <c r="E11" s="25" t="s">
        <v>311</v>
      </c>
      <c r="F11" s="25" t="s">
        <v>312</v>
      </c>
      <c r="G11" s="25" t="s">
        <v>313</v>
      </c>
      <c r="H11" s="25" t="s">
        <v>314</v>
      </c>
    </row>
    <row r="12" spans="1:8" ht="26.4" x14ac:dyDescent="0.3">
      <c r="A12" s="24" t="s">
        <v>303</v>
      </c>
      <c r="B12" s="24">
        <v>9</v>
      </c>
      <c r="C12" s="25" t="s">
        <v>315</v>
      </c>
      <c r="D12" s="25" t="s">
        <v>316</v>
      </c>
      <c r="E12" s="25" t="s">
        <v>317</v>
      </c>
      <c r="F12" s="25" t="s">
        <v>318</v>
      </c>
      <c r="G12" s="25" t="s">
        <v>313</v>
      </c>
      <c r="H12" s="25" t="s">
        <v>319</v>
      </c>
    </row>
    <row r="13" spans="1:8" ht="26.4" x14ac:dyDescent="0.3">
      <c r="A13" s="24" t="s">
        <v>303</v>
      </c>
      <c r="B13" s="24">
        <v>10</v>
      </c>
      <c r="C13" s="25" t="s">
        <v>320</v>
      </c>
      <c r="D13" s="25" t="s">
        <v>321</v>
      </c>
      <c r="E13" s="25" t="s">
        <v>322</v>
      </c>
      <c r="F13" s="25" t="s">
        <v>318</v>
      </c>
      <c r="G13" s="25" t="s">
        <v>313</v>
      </c>
      <c r="H13" s="25" t="s">
        <v>323</v>
      </c>
    </row>
    <row r="14" spans="1:8" ht="26.4" x14ac:dyDescent="0.3">
      <c r="A14" s="24" t="s">
        <v>303</v>
      </c>
      <c r="B14" s="24">
        <v>12</v>
      </c>
      <c r="C14" s="25" t="s">
        <v>324</v>
      </c>
      <c r="D14" s="25" t="s">
        <v>325</v>
      </c>
      <c r="E14" s="25" t="s">
        <v>326</v>
      </c>
      <c r="F14" s="25" t="s">
        <v>327</v>
      </c>
      <c r="G14" s="25" t="s">
        <v>313</v>
      </c>
      <c r="H14" s="25" t="s">
        <v>323</v>
      </c>
    </row>
    <row r="15" spans="1:8" ht="26.4" x14ac:dyDescent="0.3">
      <c r="A15" s="24" t="s">
        <v>303</v>
      </c>
      <c r="B15" s="24">
        <v>8</v>
      </c>
      <c r="C15" s="25" t="s">
        <v>328</v>
      </c>
      <c r="D15" s="25" t="s">
        <v>329</v>
      </c>
      <c r="E15" s="25" t="s">
        <v>330</v>
      </c>
      <c r="F15" s="25" t="s">
        <v>331</v>
      </c>
      <c r="G15" s="25" t="s">
        <v>332</v>
      </c>
      <c r="H15" s="25" t="s">
        <v>333</v>
      </c>
    </row>
    <row r="16" spans="1:8" ht="26.4" x14ac:dyDescent="0.3">
      <c r="A16" s="26" t="s">
        <v>334</v>
      </c>
      <c r="B16" s="26">
        <v>11</v>
      </c>
      <c r="C16" s="27" t="s">
        <v>335</v>
      </c>
      <c r="D16" s="27" t="s">
        <v>336</v>
      </c>
      <c r="E16" s="27" t="s">
        <v>300</v>
      </c>
      <c r="F16" s="27" t="s">
        <v>337</v>
      </c>
      <c r="G16" s="27" t="s">
        <v>338</v>
      </c>
      <c r="H16" s="27" t="s">
        <v>339</v>
      </c>
    </row>
    <row r="17" spans="1:8" ht="26.4" x14ac:dyDescent="0.3">
      <c r="A17" s="26" t="s">
        <v>334</v>
      </c>
      <c r="B17" s="26">
        <v>13</v>
      </c>
      <c r="C17" s="27" t="s">
        <v>340</v>
      </c>
      <c r="D17" s="27" t="s">
        <v>341</v>
      </c>
      <c r="E17" s="27" t="s">
        <v>342</v>
      </c>
      <c r="F17" s="27" t="s">
        <v>343</v>
      </c>
      <c r="G17" s="27" t="s">
        <v>344</v>
      </c>
      <c r="H17" s="27" t="s">
        <v>30</v>
      </c>
    </row>
    <row r="18" spans="1:8" ht="26.4" x14ac:dyDescent="0.3">
      <c r="A18" s="26" t="s">
        <v>334</v>
      </c>
      <c r="B18" s="26">
        <v>14</v>
      </c>
      <c r="C18" s="27" t="s">
        <v>345</v>
      </c>
      <c r="D18" s="27" t="s">
        <v>346</v>
      </c>
      <c r="E18" s="27" t="s">
        <v>300</v>
      </c>
      <c r="F18" s="27" t="s">
        <v>347</v>
      </c>
      <c r="G18" s="27" t="s">
        <v>348</v>
      </c>
      <c r="H18" s="27" t="s">
        <v>349</v>
      </c>
    </row>
  </sheetData>
  <autoFilter ref="A4:H18" xr:uid="{00000000-0009-0000-0000-000003000000}"/>
  <hyperlinks>
    <hyperlink ref="A1" location="'0. HUB'!A1" display="◀ HUB"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D28"/>
  <sheetViews>
    <sheetView showGridLines="0" zoomScaleNormal="100" workbookViewId="0">
      <pane ySplit="4" topLeftCell="A5" activePane="bottomLeft" state="frozen"/>
      <selection pane="bottomLeft"/>
    </sheetView>
  </sheetViews>
  <sheetFormatPr baseColWidth="10" defaultColWidth="8.6640625" defaultRowHeight="14.4" x14ac:dyDescent="0.3"/>
  <cols>
    <col min="1" max="1" width="22" bestFit="1" customWidth="1"/>
    <col min="2" max="4" width="40.77734375" customWidth="1"/>
  </cols>
  <sheetData>
    <row r="1" spans="1:4" ht="42" x14ac:dyDescent="0.4">
      <c r="A1" s="2" t="s">
        <v>72</v>
      </c>
      <c r="B1" s="139" t="s">
        <v>350</v>
      </c>
      <c r="C1" s="131"/>
      <c r="D1" s="131"/>
    </row>
    <row r="2" spans="1:4" ht="40.200000000000003" x14ac:dyDescent="0.3">
      <c r="B2" s="47" t="s">
        <v>351</v>
      </c>
      <c r="C2" s="131"/>
      <c r="D2" s="131"/>
    </row>
    <row r="3" spans="1:4" x14ac:dyDescent="0.3">
      <c r="B3" s="131"/>
      <c r="C3" s="131"/>
      <c r="D3" s="131"/>
    </row>
    <row r="4" spans="1:4" x14ac:dyDescent="0.3">
      <c r="A4" s="10" t="s">
        <v>352</v>
      </c>
      <c r="B4" s="10" t="s">
        <v>353</v>
      </c>
      <c r="C4" s="10" t="s">
        <v>354</v>
      </c>
      <c r="D4" s="10" t="s">
        <v>355</v>
      </c>
    </row>
    <row r="5" spans="1:4" ht="26.4" x14ac:dyDescent="0.3">
      <c r="A5" s="28" t="s">
        <v>356</v>
      </c>
      <c r="B5" s="28" t="s">
        <v>357</v>
      </c>
      <c r="C5" s="28" t="s">
        <v>358</v>
      </c>
      <c r="D5" s="28" t="s">
        <v>359</v>
      </c>
    </row>
    <row r="6" spans="1:4" ht="39.6" x14ac:dyDescent="0.3">
      <c r="A6" s="28" t="s">
        <v>360</v>
      </c>
      <c r="B6" s="28" t="s">
        <v>361</v>
      </c>
      <c r="C6" s="28" t="s">
        <v>362</v>
      </c>
      <c r="D6" s="28" t="s">
        <v>363</v>
      </c>
    </row>
    <row r="7" spans="1:4" ht="39.6" x14ac:dyDescent="0.3">
      <c r="A7" s="28" t="s">
        <v>364</v>
      </c>
      <c r="B7" s="28" t="s">
        <v>365</v>
      </c>
      <c r="C7" s="28" t="s">
        <v>366</v>
      </c>
      <c r="D7" s="28" t="s">
        <v>367</v>
      </c>
    </row>
    <row r="8" spans="1:4" ht="26.4" x14ac:dyDescent="0.3">
      <c r="A8" s="28" t="s">
        <v>368</v>
      </c>
      <c r="B8" s="28" t="s">
        <v>357</v>
      </c>
      <c r="C8" s="28" t="s">
        <v>369</v>
      </c>
      <c r="D8" s="28" t="s">
        <v>370</v>
      </c>
    </row>
    <row r="9" spans="1:4" x14ac:dyDescent="0.3">
      <c r="A9" s="13" t="s">
        <v>371</v>
      </c>
      <c r="B9" s="13" t="s">
        <v>372</v>
      </c>
      <c r="C9" s="13" t="s">
        <v>373</v>
      </c>
      <c r="D9" s="13" t="s">
        <v>374</v>
      </c>
    </row>
    <row r="10" spans="1:4" ht="26.4" x14ac:dyDescent="0.3">
      <c r="A10" s="28" t="s">
        <v>375</v>
      </c>
      <c r="B10" s="28" t="s">
        <v>365</v>
      </c>
      <c r="C10" s="28" t="s">
        <v>376</v>
      </c>
      <c r="D10" s="28" t="s">
        <v>377</v>
      </c>
    </row>
    <row r="11" spans="1:4" ht="26.4" x14ac:dyDescent="0.3">
      <c r="A11" s="11" t="s">
        <v>378</v>
      </c>
      <c r="B11" s="11" t="s">
        <v>379</v>
      </c>
      <c r="C11" s="11" t="s">
        <v>380</v>
      </c>
      <c r="D11" s="11" t="s">
        <v>381</v>
      </c>
    </row>
    <row r="12" spans="1:4" ht="26.4" x14ac:dyDescent="0.3">
      <c r="A12" s="11" t="s">
        <v>382</v>
      </c>
      <c r="B12" s="11" t="s">
        <v>383</v>
      </c>
      <c r="C12" s="11" t="s">
        <v>384</v>
      </c>
      <c r="D12" s="11" t="s">
        <v>385</v>
      </c>
    </row>
    <row r="13" spans="1:4" ht="26.4" x14ac:dyDescent="0.3">
      <c r="A13" s="28" t="s">
        <v>386</v>
      </c>
      <c r="B13" s="28" t="s">
        <v>365</v>
      </c>
      <c r="C13" s="28" t="s">
        <v>387</v>
      </c>
      <c r="D13" s="28" t="s">
        <v>388</v>
      </c>
    </row>
    <row r="14" spans="1:4" ht="26.4" x14ac:dyDescent="0.3">
      <c r="A14" s="28" t="s">
        <v>389</v>
      </c>
      <c r="B14" s="28" t="s">
        <v>365</v>
      </c>
      <c r="C14" s="28" t="s">
        <v>390</v>
      </c>
      <c r="D14" s="28" t="s">
        <v>391</v>
      </c>
    </row>
    <row r="15" spans="1:4" ht="39.6" x14ac:dyDescent="0.3">
      <c r="A15" s="13" t="s">
        <v>392</v>
      </c>
      <c r="B15" s="13" t="s">
        <v>372</v>
      </c>
      <c r="C15" s="13" t="s">
        <v>393</v>
      </c>
      <c r="D15" s="13" t="s">
        <v>394</v>
      </c>
    </row>
    <row r="16" spans="1:4" ht="39.6" x14ac:dyDescent="0.3">
      <c r="A16" s="28" t="s">
        <v>392</v>
      </c>
      <c r="B16" s="28" t="s">
        <v>365</v>
      </c>
      <c r="C16" s="28" t="s">
        <v>395</v>
      </c>
      <c r="D16" s="28" t="s">
        <v>396</v>
      </c>
    </row>
    <row r="17" spans="1:4" ht="39.6" x14ac:dyDescent="0.3">
      <c r="A17" s="28" t="s">
        <v>397</v>
      </c>
      <c r="B17" s="28" t="s">
        <v>336</v>
      </c>
      <c r="C17" s="28" t="s">
        <v>398</v>
      </c>
      <c r="D17" s="28" t="s">
        <v>399</v>
      </c>
    </row>
    <row r="18" spans="1:4" ht="26.4" x14ac:dyDescent="0.3">
      <c r="A18" s="13" t="s">
        <v>400</v>
      </c>
      <c r="B18" s="13" t="s">
        <v>372</v>
      </c>
      <c r="C18" s="13" t="s">
        <v>401</v>
      </c>
      <c r="D18" s="13" t="s">
        <v>402</v>
      </c>
    </row>
    <row r="19" spans="1:4" ht="39.6" x14ac:dyDescent="0.3">
      <c r="A19" s="28" t="s">
        <v>400</v>
      </c>
      <c r="B19" s="28" t="s">
        <v>341</v>
      </c>
      <c r="C19" s="28" t="s">
        <v>403</v>
      </c>
      <c r="D19" s="28" t="s">
        <v>404</v>
      </c>
    </row>
    <row r="20" spans="1:4" x14ac:dyDescent="0.3">
      <c r="A20" s="9" t="s">
        <v>405</v>
      </c>
      <c r="B20" s="131"/>
      <c r="C20" s="131"/>
      <c r="D20" s="131"/>
    </row>
    <row r="21" spans="1:4" ht="26.4" x14ac:dyDescent="0.3">
      <c r="A21" s="15" t="s">
        <v>213</v>
      </c>
      <c r="B21" s="15" t="s">
        <v>406</v>
      </c>
      <c r="C21" s="15" t="s">
        <v>407</v>
      </c>
      <c r="D21" s="15" t="s">
        <v>408</v>
      </c>
    </row>
    <row r="22" spans="1:4" ht="26.4" x14ac:dyDescent="0.3">
      <c r="A22" s="15" t="s">
        <v>409</v>
      </c>
      <c r="B22" s="15" t="s">
        <v>406</v>
      </c>
      <c r="C22" s="15" t="s">
        <v>410</v>
      </c>
      <c r="D22" s="15" t="s">
        <v>411</v>
      </c>
    </row>
    <row r="23" spans="1:4" ht="26.4" x14ac:dyDescent="0.3">
      <c r="A23" s="15" t="s">
        <v>412</v>
      </c>
      <c r="B23" s="15" t="s">
        <v>406</v>
      </c>
      <c r="C23" s="15" t="s">
        <v>413</v>
      </c>
      <c r="D23" s="15" t="s">
        <v>414</v>
      </c>
    </row>
    <row r="24" spans="1:4" ht="26.4" x14ac:dyDescent="0.3">
      <c r="A24" s="15" t="s">
        <v>344</v>
      </c>
      <c r="B24" s="15" t="s">
        <v>406</v>
      </c>
      <c r="C24" s="15" t="s">
        <v>415</v>
      </c>
      <c r="D24" s="15" t="s">
        <v>416</v>
      </c>
    </row>
    <row r="25" spans="1:4" ht="26.4" x14ac:dyDescent="0.3">
      <c r="A25" s="15" t="s">
        <v>154</v>
      </c>
      <c r="B25" s="15" t="s">
        <v>406</v>
      </c>
      <c r="C25" s="15" t="s">
        <v>417</v>
      </c>
      <c r="D25" s="15" t="s">
        <v>418</v>
      </c>
    </row>
    <row r="26" spans="1:4" x14ac:dyDescent="0.3">
      <c r="A26" s="15" t="s">
        <v>419</v>
      </c>
      <c r="B26" s="15" t="s">
        <v>406</v>
      </c>
      <c r="C26" s="15" t="s">
        <v>420</v>
      </c>
      <c r="D26" s="15" t="s">
        <v>421</v>
      </c>
    </row>
    <row r="27" spans="1:4" ht="26.4" x14ac:dyDescent="0.3">
      <c r="A27" s="15" t="s">
        <v>422</v>
      </c>
      <c r="B27" s="15" t="s">
        <v>406</v>
      </c>
      <c r="C27" s="15" t="s">
        <v>423</v>
      </c>
      <c r="D27" s="15" t="s">
        <v>424</v>
      </c>
    </row>
    <row r="28" spans="1:4" x14ac:dyDescent="0.3">
      <c r="A28" s="15" t="s">
        <v>425</v>
      </c>
      <c r="B28" s="15" t="s">
        <v>406</v>
      </c>
      <c r="C28" s="15" t="s">
        <v>426</v>
      </c>
      <c r="D28" s="15" t="s">
        <v>427</v>
      </c>
    </row>
  </sheetData>
  <hyperlinks>
    <hyperlink ref="A1" location="'0. HUB'!A1" display="◀ HUB" xr:uid="{00000000-0004-0000-0400-000000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F16"/>
  <sheetViews>
    <sheetView showGridLines="0" zoomScaleNormal="100" workbookViewId="0"/>
  </sheetViews>
  <sheetFormatPr baseColWidth="10" defaultColWidth="8.6640625" defaultRowHeight="14.4" x14ac:dyDescent="0.3"/>
  <cols>
    <col min="1" max="1" width="34.77734375" bestFit="1" customWidth="1"/>
    <col min="2" max="2" width="40.77734375" customWidth="1"/>
    <col min="3" max="3" width="11.88671875" bestFit="1" customWidth="1"/>
    <col min="4" max="4" width="6.44140625" bestFit="1" customWidth="1"/>
    <col min="5" max="5" width="19.6640625" bestFit="1" customWidth="1"/>
    <col min="6" max="6" width="7.6640625" bestFit="1" customWidth="1"/>
  </cols>
  <sheetData>
    <row r="1" spans="1:6" ht="63" x14ac:dyDescent="0.4">
      <c r="A1" s="2" t="s">
        <v>72</v>
      </c>
      <c r="B1" s="139" t="s">
        <v>428</v>
      </c>
    </row>
    <row r="2" spans="1:6" ht="66.599999999999994" x14ac:dyDescent="0.3">
      <c r="B2" s="47" t="s">
        <v>429</v>
      </c>
    </row>
    <row r="3" spans="1:6" x14ac:dyDescent="0.3">
      <c r="B3" s="131"/>
    </row>
    <row r="4" spans="1:6" ht="26.4" x14ac:dyDescent="0.3">
      <c r="A4" s="10" t="s">
        <v>108</v>
      </c>
      <c r="B4" s="10" t="s">
        <v>430</v>
      </c>
      <c r="C4" s="10" t="s">
        <v>431</v>
      </c>
      <c r="D4" s="10" t="s">
        <v>432</v>
      </c>
      <c r="E4" s="10" t="s">
        <v>433</v>
      </c>
      <c r="F4" s="10" t="s">
        <v>434</v>
      </c>
    </row>
    <row r="5" spans="1:6" x14ac:dyDescent="0.3">
      <c r="A5" s="29" t="s">
        <v>435</v>
      </c>
      <c r="B5" s="142">
        <v>10325.049999999999</v>
      </c>
      <c r="C5" s="30">
        <v>10906</v>
      </c>
      <c r="D5" s="31">
        <f t="shared" ref="D5:D15" si="0">C5-B5</f>
        <v>580.95000000000073</v>
      </c>
      <c r="E5" s="32" t="s">
        <v>436</v>
      </c>
      <c r="F5" s="33" t="s">
        <v>129</v>
      </c>
    </row>
    <row r="6" spans="1:6" x14ac:dyDescent="0.3">
      <c r="A6" s="29" t="s">
        <v>437</v>
      </c>
      <c r="B6" s="61">
        <v>323</v>
      </c>
      <c r="C6" s="34">
        <v>333</v>
      </c>
      <c r="D6" s="35">
        <f t="shared" si="0"/>
        <v>10</v>
      </c>
      <c r="E6" s="32"/>
      <c r="F6" s="33" t="s">
        <v>129</v>
      </c>
    </row>
    <row r="7" spans="1:6" x14ac:dyDescent="0.3">
      <c r="A7" s="29" t="s">
        <v>438</v>
      </c>
      <c r="B7" s="143">
        <v>0.26400000000000001</v>
      </c>
      <c r="C7" s="36">
        <v>0.29099999999999998</v>
      </c>
      <c r="D7" s="37">
        <f t="shared" si="0"/>
        <v>2.6999999999999968E-2</v>
      </c>
      <c r="E7" s="32"/>
      <c r="F7" s="33" t="s">
        <v>439</v>
      </c>
    </row>
    <row r="8" spans="1:6" x14ac:dyDescent="0.3">
      <c r="A8" s="29" t="s">
        <v>440</v>
      </c>
      <c r="B8" s="143">
        <v>0.90100000000000002</v>
      </c>
      <c r="C8" s="36">
        <v>0.92500000000000004</v>
      </c>
      <c r="D8" s="37">
        <f t="shared" si="0"/>
        <v>2.4000000000000021E-2</v>
      </c>
      <c r="E8" s="32"/>
      <c r="F8" s="33" t="s">
        <v>441</v>
      </c>
    </row>
    <row r="9" spans="1:6" x14ac:dyDescent="0.3">
      <c r="A9" s="29" t="s">
        <v>123</v>
      </c>
      <c r="B9" s="61">
        <v>295</v>
      </c>
      <c r="C9" s="34">
        <v>281</v>
      </c>
      <c r="D9" s="35">
        <f t="shared" si="0"/>
        <v>-14</v>
      </c>
      <c r="E9" s="32"/>
      <c r="F9" s="33" t="s">
        <v>442</v>
      </c>
    </row>
    <row r="10" spans="1:6" x14ac:dyDescent="0.3">
      <c r="A10" s="29" t="s">
        <v>443</v>
      </c>
      <c r="B10" s="61">
        <v>6512</v>
      </c>
      <c r="C10" s="34">
        <v>5751</v>
      </c>
      <c r="D10" s="35">
        <f t="shared" si="0"/>
        <v>-761</v>
      </c>
      <c r="E10" s="32"/>
      <c r="F10" s="33" t="s">
        <v>444</v>
      </c>
    </row>
    <row r="11" spans="1:6" x14ac:dyDescent="0.3">
      <c r="A11" s="29" t="s">
        <v>445</v>
      </c>
      <c r="B11" s="142">
        <v>21855</v>
      </c>
      <c r="C11" s="30">
        <v>21611</v>
      </c>
      <c r="D11" s="31">
        <f t="shared" si="0"/>
        <v>-244</v>
      </c>
      <c r="E11" s="32"/>
      <c r="F11" s="33" t="s">
        <v>446</v>
      </c>
    </row>
    <row r="12" spans="1:6" x14ac:dyDescent="0.3">
      <c r="A12" s="29" t="s">
        <v>447</v>
      </c>
      <c r="B12" s="61">
        <v>9698</v>
      </c>
      <c r="C12" s="34">
        <v>9434</v>
      </c>
      <c r="D12" s="35">
        <f t="shared" si="0"/>
        <v>-264</v>
      </c>
      <c r="E12" s="32"/>
      <c r="F12" s="33" t="s">
        <v>129</v>
      </c>
    </row>
    <row r="13" spans="1:6" x14ac:dyDescent="0.3">
      <c r="A13" s="29" t="s">
        <v>448</v>
      </c>
      <c r="B13" s="61">
        <v>1252</v>
      </c>
      <c r="C13" s="34">
        <v>1170</v>
      </c>
      <c r="D13" s="35">
        <f t="shared" si="0"/>
        <v>-82</v>
      </c>
      <c r="E13" s="32"/>
      <c r="F13" s="33" t="s">
        <v>449</v>
      </c>
    </row>
    <row r="14" spans="1:6" x14ac:dyDescent="0.3">
      <c r="A14" s="29" t="s">
        <v>450</v>
      </c>
      <c r="B14" s="144">
        <v>31.96</v>
      </c>
      <c r="C14" s="38">
        <v>32.75</v>
      </c>
      <c r="D14" s="39">
        <f t="shared" si="0"/>
        <v>0.78999999999999915</v>
      </c>
      <c r="E14" s="32"/>
      <c r="F14" s="33" t="s">
        <v>129</v>
      </c>
    </row>
    <row r="15" spans="1:6" x14ac:dyDescent="0.3">
      <c r="A15" s="29" t="s">
        <v>451</v>
      </c>
      <c r="B15" s="145">
        <v>508</v>
      </c>
      <c r="C15" s="40">
        <v>0</v>
      </c>
      <c r="D15" s="41">
        <f t="shared" si="0"/>
        <v>-508</v>
      </c>
      <c r="E15" s="32"/>
      <c r="F15" s="33" t="s">
        <v>452</v>
      </c>
    </row>
    <row r="16" spans="1:6" x14ac:dyDescent="0.3">
      <c r="A16" s="127" t="s">
        <v>453</v>
      </c>
      <c r="B16" s="127"/>
      <c r="C16" s="127"/>
      <c r="D16" s="127"/>
      <c r="E16" s="127"/>
      <c r="F16" s="127"/>
    </row>
  </sheetData>
  <mergeCells count="1">
    <mergeCell ref="A16:F16"/>
  </mergeCells>
  <hyperlinks>
    <hyperlink ref="A1" location="'0. HUB'!A1" display="◀ HUB" xr:uid="{00000000-0004-0000-0500-000000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G40"/>
  <sheetViews>
    <sheetView showGridLines="0" topLeftCell="A10" zoomScaleNormal="100" workbookViewId="0">
      <selection activeCell="D5" sqref="D5"/>
    </sheetView>
  </sheetViews>
  <sheetFormatPr baseColWidth="10" defaultColWidth="8.6640625" defaultRowHeight="14.4" x14ac:dyDescent="0.3"/>
  <cols>
    <col min="1" max="1" width="40.77734375" customWidth="1"/>
    <col min="2" max="2" width="23.21875" bestFit="1" customWidth="1"/>
    <col min="3" max="3" width="14.33203125" bestFit="1" customWidth="1"/>
    <col min="4" max="5" width="9.5546875" bestFit="1" customWidth="1"/>
    <col min="6" max="6" width="6.77734375" bestFit="1" customWidth="1"/>
    <col min="7" max="7" width="7.6640625" bestFit="1" customWidth="1"/>
  </cols>
  <sheetData>
    <row r="1" spans="1:7" ht="52.2" x14ac:dyDescent="0.3">
      <c r="A1" s="146" t="s">
        <v>454</v>
      </c>
    </row>
    <row r="2" spans="1:7" ht="53.4" x14ac:dyDescent="0.3">
      <c r="A2" s="47" t="s">
        <v>455</v>
      </c>
    </row>
    <row r="3" spans="1:7" x14ac:dyDescent="0.3">
      <c r="A3" s="147" t="s">
        <v>72</v>
      </c>
    </row>
    <row r="4" spans="1:7" x14ac:dyDescent="0.3">
      <c r="A4" s="68" t="s">
        <v>456</v>
      </c>
    </row>
    <row r="5" spans="1:7" x14ac:dyDescent="0.3">
      <c r="A5" s="10" t="s">
        <v>457</v>
      </c>
      <c r="B5" s="10" t="s">
        <v>458</v>
      </c>
      <c r="C5" s="10" t="s">
        <v>459</v>
      </c>
      <c r="D5" s="10" t="s">
        <v>432</v>
      </c>
      <c r="E5" s="10" t="s">
        <v>460</v>
      </c>
    </row>
    <row r="6" spans="1:7" x14ac:dyDescent="0.3">
      <c r="A6" s="16" t="s">
        <v>461</v>
      </c>
      <c r="B6" s="30">
        <v>10325.049999999999</v>
      </c>
      <c r="C6" s="30">
        <v>10906</v>
      </c>
      <c r="D6" s="30">
        <f>C6-B6</f>
        <v>580.95000000000073</v>
      </c>
      <c r="E6" s="36">
        <f>IFERROR(C6/B6-1,"")</f>
        <v>5.6266071350744129E-2</v>
      </c>
    </row>
    <row r="7" spans="1:7" x14ac:dyDescent="0.3">
      <c r="A7" s="16" t="s">
        <v>462</v>
      </c>
      <c r="B7" s="34">
        <v>323</v>
      </c>
      <c r="C7" s="34">
        <v>333</v>
      </c>
      <c r="D7" s="34">
        <f>C7-B7</f>
        <v>10</v>
      </c>
      <c r="E7" s="36">
        <f>IFERROR(C7/B7-1,"")</f>
        <v>3.0959752321981338E-2</v>
      </c>
    </row>
    <row r="8" spans="1:7" x14ac:dyDescent="0.3">
      <c r="A8" s="16" t="s">
        <v>463</v>
      </c>
      <c r="B8" s="34">
        <v>117</v>
      </c>
      <c r="C8" s="34">
        <v>125</v>
      </c>
      <c r="D8" s="34">
        <f>C8-B8</f>
        <v>8</v>
      </c>
      <c r="E8" s="36">
        <f>IFERROR(C8/B8-1,"")</f>
        <v>6.8376068376068355E-2</v>
      </c>
    </row>
    <row r="9" spans="1:7" x14ac:dyDescent="0.3">
      <c r="A9" s="16" t="s">
        <v>450</v>
      </c>
      <c r="B9" s="38">
        <v>31.96</v>
      </c>
      <c r="C9" s="38">
        <v>32.75</v>
      </c>
      <c r="D9" s="38">
        <f>C9-B9</f>
        <v>0.78999999999999915</v>
      </c>
      <c r="E9" s="36">
        <f>IFERROR(C9/B9-1,"")</f>
        <v>2.4718397997496755E-2</v>
      </c>
    </row>
    <row r="10" spans="1:7" x14ac:dyDescent="0.3">
      <c r="A10" s="131"/>
    </row>
    <row r="11" spans="1:7" ht="27" x14ac:dyDescent="0.3">
      <c r="A11" s="68" t="s">
        <v>464</v>
      </c>
    </row>
    <row r="12" spans="1:7" x14ac:dyDescent="0.3">
      <c r="A12" s="10" t="s">
        <v>465</v>
      </c>
      <c r="B12" s="10" t="s">
        <v>466</v>
      </c>
      <c r="C12" s="10" t="s">
        <v>467</v>
      </c>
      <c r="D12" s="174">
        <v>202628</v>
      </c>
      <c r="E12" s="174">
        <v>202629</v>
      </c>
      <c r="F12" s="10" t="s">
        <v>468</v>
      </c>
      <c r="G12" s="10" t="s">
        <v>460</v>
      </c>
    </row>
    <row r="13" spans="1:7" x14ac:dyDescent="0.3">
      <c r="A13" s="16">
        <v>75214930</v>
      </c>
      <c r="B13" s="29" t="s">
        <v>469</v>
      </c>
      <c r="C13" s="43" t="s">
        <v>470</v>
      </c>
      <c r="D13" s="30">
        <v>1108.98</v>
      </c>
      <c r="E13" s="30">
        <v>2587.62</v>
      </c>
      <c r="F13" s="30">
        <f t="shared" ref="F13:F33" si="0">E13-D13</f>
        <v>1478.6399999999999</v>
      </c>
      <c r="G13" s="36">
        <f t="shared" ref="G13:G33" si="1">IFERROR(E13/D13-1,"")</f>
        <v>1.333333333333333</v>
      </c>
    </row>
    <row r="14" spans="1:7" x14ac:dyDescent="0.3">
      <c r="A14" s="16">
        <v>75437621</v>
      </c>
      <c r="B14" s="29" t="s">
        <v>471</v>
      </c>
      <c r="C14" s="43" t="s">
        <v>470</v>
      </c>
      <c r="D14" s="30">
        <v>2134.58</v>
      </c>
      <c r="E14" s="30">
        <v>1767.76</v>
      </c>
      <c r="F14" s="30">
        <f t="shared" si="0"/>
        <v>-366.81999999999994</v>
      </c>
      <c r="G14" s="36">
        <f t="shared" si="1"/>
        <v>-0.17184645222947836</v>
      </c>
    </row>
    <row r="15" spans="1:7" x14ac:dyDescent="0.3">
      <c r="A15" s="16">
        <v>75437610</v>
      </c>
      <c r="B15" s="29" t="s">
        <v>472</v>
      </c>
      <c r="C15" s="43" t="s">
        <v>470</v>
      </c>
      <c r="D15" s="30">
        <v>862.42</v>
      </c>
      <c r="E15" s="30">
        <v>1594.04</v>
      </c>
      <c r="F15" s="30">
        <f t="shared" si="0"/>
        <v>731.62</v>
      </c>
      <c r="G15" s="36">
        <f t="shared" si="1"/>
        <v>0.84833375849354153</v>
      </c>
    </row>
    <row r="16" spans="1:7" x14ac:dyDescent="0.3">
      <c r="A16" s="16">
        <v>75437616</v>
      </c>
      <c r="B16" s="29" t="s">
        <v>473</v>
      </c>
      <c r="C16" s="43" t="s">
        <v>470</v>
      </c>
      <c r="D16" s="30">
        <v>538.46</v>
      </c>
      <c r="E16" s="30">
        <v>1073.22</v>
      </c>
      <c r="F16" s="30">
        <f t="shared" si="0"/>
        <v>534.76</v>
      </c>
      <c r="G16" s="36">
        <f t="shared" si="1"/>
        <v>0.99312855179586212</v>
      </c>
    </row>
    <row r="17" spans="1:7" x14ac:dyDescent="0.3">
      <c r="A17" s="16">
        <v>75437623</v>
      </c>
      <c r="B17" s="29" t="s">
        <v>474</v>
      </c>
      <c r="C17" s="43" t="s">
        <v>470</v>
      </c>
      <c r="D17" s="30">
        <v>1795.39</v>
      </c>
      <c r="E17" s="30">
        <v>933.17</v>
      </c>
      <c r="F17" s="30">
        <f t="shared" si="0"/>
        <v>-862.22000000000014</v>
      </c>
      <c r="G17" s="36">
        <f t="shared" si="1"/>
        <v>-0.48024106183057724</v>
      </c>
    </row>
    <row r="18" spans="1:7" x14ac:dyDescent="0.3">
      <c r="A18" s="16">
        <v>75437614</v>
      </c>
      <c r="B18" s="29" t="s">
        <v>475</v>
      </c>
      <c r="C18" s="43" t="s">
        <v>470</v>
      </c>
      <c r="D18" s="30">
        <v>745.16</v>
      </c>
      <c r="E18" s="30">
        <v>873.92</v>
      </c>
      <c r="F18" s="30">
        <f t="shared" si="0"/>
        <v>128.76</v>
      </c>
      <c r="G18" s="36">
        <f t="shared" si="1"/>
        <v>0.17279510440710721</v>
      </c>
    </row>
    <row r="19" spans="1:7" x14ac:dyDescent="0.3">
      <c r="A19" s="16">
        <v>75437615</v>
      </c>
      <c r="B19" s="29" t="s">
        <v>476</v>
      </c>
      <c r="C19" s="44" t="s">
        <v>477</v>
      </c>
      <c r="D19" s="30">
        <v>707.72</v>
      </c>
      <c r="E19" s="30">
        <v>602.03</v>
      </c>
      <c r="F19" s="30">
        <f t="shared" si="0"/>
        <v>-105.69000000000005</v>
      </c>
      <c r="G19" s="36">
        <f t="shared" si="1"/>
        <v>-0.14933872152828809</v>
      </c>
    </row>
    <row r="20" spans="1:7" x14ac:dyDescent="0.3">
      <c r="A20" s="16">
        <v>75437613</v>
      </c>
      <c r="B20" s="29" t="s">
        <v>478</v>
      </c>
      <c r="C20" s="44" t="s">
        <v>477</v>
      </c>
      <c r="D20" s="30">
        <v>683.52</v>
      </c>
      <c r="E20" s="30">
        <v>398.72</v>
      </c>
      <c r="F20" s="30">
        <f t="shared" si="0"/>
        <v>-284.79999999999995</v>
      </c>
      <c r="G20" s="36">
        <f t="shared" si="1"/>
        <v>-0.41666666666666663</v>
      </c>
    </row>
    <row r="21" spans="1:7" x14ac:dyDescent="0.3">
      <c r="A21" s="16">
        <v>75214932</v>
      </c>
      <c r="B21" s="29" t="s">
        <v>479</v>
      </c>
      <c r="C21" s="45" t="s">
        <v>480</v>
      </c>
      <c r="D21" s="30">
        <v>527.70000000000005</v>
      </c>
      <c r="E21" s="30">
        <v>364.3</v>
      </c>
      <c r="F21" s="30">
        <f t="shared" si="0"/>
        <v>-163.40000000000003</v>
      </c>
      <c r="G21" s="36">
        <f t="shared" si="1"/>
        <v>-0.30964563198787198</v>
      </c>
    </row>
    <row r="22" spans="1:7" x14ac:dyDescent="0.3">
      <c r="A22" s="16">
        <v>75437612</v>
      </c>
      <c r="B22" s="29" t="s">
        <v>481</v>
      </c>
      <c r="C22" s="44" t="s">
        <v>477</v>
      </c>
      <c r="D22" s="30">
        <v>140.71</v>
      </c>
      <c r="E22" s="30">
        <v>284.8</v>
      </c>
      <c r="F22" s="30">
        <f t="shared" si="0"/>
        <v>144.09</v>
      </c>
      <c r="G22" s="36">
        <f t="shared" si="1"/>
        <v>1.0240210361736906</v>
      </c>
    </row>
    <row r="23" spans="1:7" x14ac:dyDescent="0.3">
      <c r="A23" s="16">
        <v>75253329</v>
      </c>
      <c r="B23" s="29" t="s">
        <v>482</v>
      </c>
      <c r="C23" s="45" t="s">
        <v>480</v>
      </c>
      <c r="D23" s="30">
        <v>120.52</v>
      </c>
      <c r="E23" s="30">
        <v>161.55000000000001</v>
      </c>
      <c r="F23" s="30">
        <f t="shared" si="0"/>
        <v>41.030000000000015</v>
      </c>
      <c r="G23" s="36">
        <f t="shared" si="1"/>
        <v>0.34044142051111859</v>
      </c>
    </row>
    <row r="24" spans="1:7" x14ac:dyDescent="0.3">
      <c r="A24" s="16">
        <v>75253328</v>
      </c>
      <c r="B24" s="29" t="s">
        <v>483</v>
      </c>
      <c r="C24" s="45" t="s">
        <v>480</v>
      </c>
      <c r="D24" s="30">
        <v>375.88</v>
      </c>
      <c r="E24" s="30">
        <v>89.28</v>
      </c>
      <c r="F24" s="30">
        <f t="shared" si="0"/>
        <v>-286.60000000000002</v>
      </c>
      <c r="G24" s="36">
        <f t="shared" si="1"/>
        <v>-0.7624773863999148</v>
      </c>
    </row>
    <row r="25" spans="1:7" x14ac:dyDescent="0.3">
      <c r="A25" s="16">
        <v>75437618</v>
      </c>
      <c r="B25" s="29" t="s">
        <v>484</v>
      </c>
      <c r="C25" s="44" t="s">
        <v>477</v>
      </c>
      <c r="D25" s="30">
        <v>0</v>
      </c>
      <c r="E25" s="30">
        <v>71.52</v>
      </c>
      <c r="F25" s="30">
        <f t="shared" si="0"/>
        <v>71.52</v>
      </c>
      <c r="G25" s="36" t="str">
        <f t="shared" si="1"/>
        <v/>
      </c>
    </row>
    <row r="26" spans="1:7" x14ac:dyDescent="0.3">
      <c r="A26" s="16">
        <v>75437619</v>
      </c>
      <c r="B26" s="29" t="s">
        <v>485</v>
      </c>
      <c r="C26" s="44" t="s">
        <v>477</v>
      </c>
      <c r="D26" s="30">
        <v>47.68</v>
      </c>
      <c r="E26" s="30">
        <v>47.68</v>
      </c>
      <c r="F26" s="30">
        <f t="shared" si="0"/>
        <v>0</v>
      </c>
      <c r="G26" s="36">
        <f t="shared" si="1"/>
        <v>0</v>
      </c>
    </row>
    <row r="27" spans="1:7" x14ac:dyDescent="0.3">
      <c r="A27" s="16">
        <v>75437620</v>
      </c>
      <c r="B27" s="29" t="s">
        <v>486</v>
      </c>
      <c r="C27" s="44" t="s">
        <v>477</v>
      </c>
      <c r="D27" s="30">
        <v>0</v>
      </c>
      <c r="E27" s="30">
        <v>23.84</v>
      </c>
      <c r="F27" s="30">
        <f t="shared" si="0"/>
        <v>23.84</v>
      </c>
      <c r="G27" s="36" t="str">
        <f t="shared" si="1"/>
        <v/>
      </c>
    </row>
    <row r="28" spans="1:7" x14ac:dyDescent="0.3">
      <c r="A28" s="16">
        <v>75437617</v>
      </c>
      <c r="B28" s="29" t="s">
        <v>487</v>
      </c>
      <c r="C28" s="44" t="s">
        <v>477</v>
      </c>
      <c r="D28" s="30">
        <v>20.8</v>
      </c>
      <c r="E28" s="30">
        <v>20.8</v>
      </c>
      <c r="F28" s="30">
        <f t="shared" si="0"/>
        <v>0</v>
      </c>
      <c r="G28" s="36">
        <f t="shared" si="1"/>
        <v>0</v>
      </c>
    </row>
    <row r="29" spans="1:7" x14ac:dyDescent="0.3">
      <c r="A29" s="16">
        <v>75244435</v>
      </c>
      <c r="B29" s="29" t="s">
        <v>488</v>
      </c>
      <c r="C29" s="45" t="s">
        <v>480</v>
      </c>
      <c r="D29" s="30">
        <v>147.66999999999999</v>
      </c>
      <c r="E29" s="30">
        <v>9.15</v>
      </c>
      <c r="F29" s="30">
        <f t="shared" si="0"/>
        <v>-138.51999999999998</v>
      </c>
      <c r="G29" s="36">
        <f t="shared" si="1"/>
        <v>-0.93803751608315844</v>
      </c>
    </row>
    <row r="30" spans="1:7" x14ac:dyDescent="0.3">
      <c r="A30" s="16">
        <v>75244431</v>
      </c>
      <c r="B30" s="29" t="s">
        <v>489</v>
      </c>
      <c r="C30" s="45" t="s">
        <v>480</v>
      </c>
      <c r="D30" s="30">
        <v>36.159999999999997</v>
      </c>
      <c r="E30" s="30">
        <v>2.64</v>
      </c>
      <c r="F30" s="30">
        <f t="shared" si="0"/>
        <v>-33.519999999999996</v>
      </c>
      <c r="G30" s="36">
        <f t="shared" si="1"/>
        <v>-0.92699115044247782</v>
      </c>
    </row>
    <row r="31" spans="1:7" x14ac:dyDescent="0.3">
      <c r="A31" s="16">
        <v>75214931</v>
      </c>
      <c r="B31" s="29" t="s">
        <v>472</v>
      </c>
      <c r="C31" s="45" t="s">
        <v>480</v>
      </c>
      <c r="D31" s="30">
        <v>331.7</v>
      </c>
      <c r="E31" s="30">
        <v>0</v>
      </c>
      <c r="F31" s="30">
        <f t="shared" si="0"/>
        <v>-331.7</v>
      </c>
      <c r="G31" s="36">
        <f t="shared" si="1"/>
        <v>-1</v>
      </c>
    </row>
    <row r="32" spans="1:7" x14ac:dyDescent="0.3">
      <c r="A32" s="16">
        <v>75244436</v>
      </c>
      <c r="B32" s="29" t="s">
        <v>490</v>
      </c>
      <c r="C32" s="45" t="s">
        <v>480</v>
      </c>
      <c r="D32" s="30">
        <v>0</v>
      </c>
      <c r="E32" s="30">
        <v>0</v>
      </c>
      <c r="F32" s="30">
        <f t="shared" si="0"/>
        <v>0</v>
      </c>
      <c r="G32" s="36" t="str">
        <f t="shared" si="1"/>
        <v/>
      </c>
    </row>
    <row r="33" spans="1:7" x14ac:dyDescent="0.3">
      <c r="A33" s="16">
        <v>75244433</v>
      </c>
      <c r="B33" s="29" t="s">
        <v>491</v>
      </c>
      <c r="C33" s="45" t="s">
        <v>480</v>
      </c>
      <c r="D33" s="30">
        <v>0</v>
      </c>
      <c r="E33" s="30">
        <v>0</v>
      </c>
      <c r="F33" s="30">
        <f t="shared" si="0"/>
        <v>0</v>
      </c>
      <c r="G33" s="36" t="str">
        <f t="shared" si="1"/>
        <v/>
      </c>
    </row>
    <row r="34" spans="1:7" x14ac:dyDescent="0.3">
      <c r="A34" s="131"/>
      <c r="B34" s="9" t="s">
        <v>492</v>
      </c>
      <c r="D34" s="46">
        <f>SUM(D13:D33)</f>
        <v>10325.049999999999</v>
      </c>
      <c r="E34" s="46">
        <f>SUM(E13:E33)</f>
        <v>10906.039999999997</v>
      </c>
      <c r="F34" s="46">
        <f>SUM(F13:F33)</f>
        <v>580.98999999999933</v>
      </c>
    </row>
    <row r="35" spans="1:7" x14ac:dyDescent="0.3">
      <c r="A35" s="131"/>
    </row>
    <row r="36" spans="1:7" x14ac:dyDescent="0.3">
      <c r="A36" s="68" t="s">
        <v>493</v>
      </c>
    </row>
    <row r="37" spans="1:7" ht="79.8" x14ac:dyDescent="0.3">
      <c r="A37" s="47" t="s">
        <v>494</v>
      </c>
    </row>
    <row r="38" spans="1:7" ht="79.8" x14ac:dyDescent="0.3">
      <c r="A38" s="47" t="s">
        <v>495</v>
      </c>
    </row>
    <row r="39" spans="1:7" ht="66.599999999999994" x14ac:dyDescent="0.3">
      <c r="A39" s="47" t="s">
        <v>496</v>
      </c>
    </row>
    <row r="40" spans="1:7" ht="93" x14ac:dyDescent="0.3">
      <c r="A40" s="47" t="s">
        <v>497</v>
      </c>
    </row>
  </sheetData>
  <hyperlinks>
    <hyperlink ref="A3" location="'0. HUB'!A1" display="◀ HUB" xr:uid="{00000000-0004-0000-0600-00000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I89"/>
  <sheetViews>
    <sheetView showGridLines="0" topLeftCell="A69" zoomScaleNormal="100" workbookViewId="0">
      <selection activeCell="E84" sqref="E84"/>
    </sheetView>
  </sheetViews>
  <sheetFormatPr baseColWidth="10" defaultColWidth="8.6640625" defaultRowHeight="14.4" x14ac:dyDescent="0.3"/>
  <cols>
    <col min="1" max="2" width="40.77734375" customWidth="1"/>
    <col min="3" max="3" width="14.33203125" bestFit="1" customWidth="1"/>
    <col min="4" max="4" width="34.88671875" bestFit="1" customWidth="1"/>
    <col min="5" max="5" width="8" bestFit="1" customWidth="1"/>
    <col min="6" max="6" width="7.6640625" bestFit="1" customWidth="1"/>
    <col min="7" max="7" width="22.44140625" bestFit="1" customWidth="1"/>
    <col min="8" max="8" width="6.77734375" bestFit="1" customWidth="1"/>
    <col min="9" max="9" width="7.6640625" bestFit="1" customWidth="1"/>
  </cols>
  <sheetData>
    <row r="1" spans="1:9" ht="63" x14ac:dyDescent="0.4">
      <c r="A1" s="137" t="s">
        <v>72</v>
      </c>
      <c r="B1" s="139" t="s">
        <v>498</v>
      </c>
    </row>
    <row r="2" spans="1:9" ht="40.200000000000003" x14ac:dyDescent="0.3">
      <c r="A2" s="131"/>
      <c r="B2" s="47" t="s">
        <v>499</v>
      </c>
    </row>
    <row r="3" spans="1:9" x14ac:dyDescent="0.3">
      <c r="A3" s="131"/>
      <c r="B3" s="131"/>
    </row>
    <row r="4" spans="1:9" x14ac:dyDescent="0.3">
      <c r="A4" s="68" t="s">
        <v>500</v>
      </c>
      <c r="B4" s="131"/>
    </row>
    <row r="5" spans="1:9" x14ac:dyDescent="0.3">
      <c r="A5" s="10" t="s">
        <v>465</v>
      </c>
      <c r="B5" s="10" t="s">
        <v>466</v>
      </c>
      <c r="C5" s="10" t="s">
        <v>467</v>
      </c>
      <c r="D5" s="10" t="s">
        <v>501</v>
      </c>
      <c r="E5" s="10" t="s">
        <v>502</v>
      </c>
      <c r="F5" s="10" t="s">
        <v>503</v>
      </c>
      <c r="G5" s="10" t="s">
        <v>504</v>
      </c>
      <c r="H5" s="10" t="s">
        <v>468</v>
      </c>
      <c r="I5" s="10" t="s">
        <v>460</v>
      </c>
    </row>
    <row r="6" spans="1:9" x14ac:dyDescent="0.3">
      <c r="A6" s="16">
        <v>75214930</v>
      </c>
      <c r="B6" s="16" t="s">
        <v>469</v>
      </c>
      <c r="C6" s="43" t="s">
        <v>470</v>
      </c>
      <c r="D6" s="34">
        <v>18</v>
      </c>
      <c r="E6" s="30">
        <v>1108.98</v>
      </c>
      <c r="F6" s="34">
        <v>42</v>
      </c>
      <c r="G6" s="30">
        <v>2587.62</v>
      </c>
      <c r="H6" s="30">
        <f t="shared" ref="H6:H26" si="0">G6-E6</f>
        <v>1478.6399999999999</v>
      </c>
      <c r="I6" s="36">
        <f t="shared" ref="I6:I26" si="1">IFERROR(G6/E6-1,"")</f>
        <v>1.333333333333333</v>
      </c>
    </row>
    <row r="7" spans="1:9" x14ac:dyDescent="0.3">
      <c r="A7" s="16">
        <v>75437621</v>
      </c>
      <c r="B7" s="16" t="s">
        <v>471</v>
      </c>
      <c r="C7" s="43" t="s">
        <v>470</v>
      </c>
      <c r="D7" s="34">
        <v>91</v>
      </c>
      <c r="E7" s="30">
        <v>2134.58</v>
      </c>
      <c r="F7" s="34">
        <v>76</v>
      </c>
      <c r="G7" s="30">
        <v>1767.76</v>
      </c>
      <c r="H7" s="30">
        <f t="shared" si="0"/>
        <v>-366.81999999999994</v>
      </c>
      <c r="I7" s="36">
        <f t="shared" si="1"/>
        <v>-0.17184645222947836</v>
      </c>
    </row>
    <row r="8" spans="1:9" x14ac:dyDescent="0.3">
      <c r="A8" s="16">
        <v>75437610</v>
      </c>
      <c r="B8" s="16" t="s">
        <v>472</v>
      </c>
      <c r="C8" s="43" t="s">
        <v>470</v>
      </c>
      <c r="D8" s="34">
        <v>13</v>
      </c>
      <c r="E8" s="30">
        <v>862.42</v>
      </c>
      <c r="F8" s="34">
        <v>26</v>
      </c>
      <c r="G8" s="30">
        <v>1594.04</v>
      </c>
      <c r="H8" s="30">
        <f t="shared" si="0"/>
        <v>731.62</v>
      </c>
      <c r="I8" s="36">
        <f t="shared" si="1"/>
        <v>0.84833375849354153</v>
      </c>
    </row>
    <row r="9" spans="1:9" x14ac:dyDescent="0.3">
      <c r="A9" s="16">
        <v>75437616</v>
      </c>
      <c r="B9" s="16" t="s">
        <v>473</v>
      </c>
      <c r="C9" s="43" t="s">
        <v>470</v>
      </c>
      <c r="D9" s="34">
        <v>21</v>
      </c>
      <c r="E9" s="30">
        <v>538.46</v>
      </c>
      <c r="F9" s="34">
        <v>45</v>
      </c>
      <c r="G9" s="30">
        <v>1073.22</v>
      </c>
      <c r="H9" s="30">
        <f t="shared" si="0"/>
        <v>534.76</v>
      </c>
      <c r="I9" s="36">
        <f t="shared" si="1"/>
        <v>0.99312855179586212</v>
      </c>
    </row>
    <row r="10" spans="1:9" x14ac:dyDescent="0.3">
      <c r="A10" s="16">
        <v>75437623</v>
      </c>
      <c r="B10" s="16" t="s">
        <v>474</v>
      </c>
      <c r="C10" s="43" t="s">
        <v>470</v>
      </c>
      <c r="D10" s="34">
        <v>47</v>
      </c>
      <c r="E10" s="30">
        <v>1795.39</v>
      </c>
      <c r="F10" s="34">
        <v>23</v>
      </c>
      <c r="G10" s="30">
        <v>933.17</v>
      </c>
      <c r="H10" s="30">
        <f t="shared" si="0"/>
        <v>-862.22000000000014</v>
      </c>
      <c r="I10" s="36">
        <f t="shared" si="1"/>
        <v>-0.48024106183057724</v>
      </c>
    </row>
    <row r="11" spans="1:9" x14ac:dyDescent="0.3">
      <c r="A11" s="16">
        <v>75437614</v>
      </c>
      <c r="B11" s="16" t="s">
        <v>475</v>
      </c>
      <c r="C11" s="43" t="s">
        <v>470</v>
      </c>
      <c r="D11" s="34">
        <v>26</v>
      </c>
      <c r="E11" s="30">
        <v>745.16</v>
      </c>
      <c r="F11" s="34">
        <v>32</v>
      </c>
      <c r="G11" s="30">
        <v>873.92</v>
      </c>
      <c r="H11" s="30">
        <f t="shared" si="0"/>
        <v>128.76</v>
      </c>
      <c r="I11" s="36">
        <f t="shared" si="1"/>
        <v>0.17279510440710721</v>
      </c>
    </row>
    <row r="12" spans="1:9" x14ac:dyDescent="0.3">
      <c r="A12" s="16">
        <v>75437615</v>
      </c>
      <c r="B12" s="16" t="s">
        <v>476</v>
      </c>
      <c r="C12" s="44" t="s">
        <v>477</v>
      </c>
      <c r="D12" s="34">
        <v>44</v>
      </c>
      <c r="E12" s="30">
        <v>707.72</v>
      </c>
      <c r="F12" s="34">
        <v>35</v>
      </c>
      <c r="G12" s="30">
        <v>602.03</v>
      </c>
      <c r="H12" s="30">
        <f t="shared" si="0"/>
        <v>-105.69000000000005</v>
      </c>
      <c r="I12" s="36">
        <f t="shared" si="1"/>
        <v>-0.14933872152828809</v>
      </c>
    </row>
    <row r="13" spans="1:9" x14ac:dyDescent="0.3">
      <c r="A13" s="16">
        <v>75437613</v>
      </c>
      <c r="B13" s="16" t="s">
        <v>478</v>
      </c>
      <c r="C13" s="44" t="s">
        <v>477</v>
      </c>
      <c r="D13" s="34">
        <v>12</v>
      </c>
      <c r="E13" s="30">
        <v>683.52</v>
      </c>
      <c r="F13" s="34">
        <v>7</v>
      </c>
      <c r="G13" s="30">
        <v>398.72</v>
      </c>
      <c r="H13" s="30">
        <f t="shared" si="0"/>
        <v>-284.79999999999995</v>
      </c>
      <c r="I13" s="36">
        <f t="shared" si="1"/>
        <v>-0.41666666666666663</v>
      </c>
    </row>
    <row r="14" spans="1:9" x14ac:dyDescent="0.3">
      <c r="A14" s="16">
        <v>75214932</v>
      </c>
      <c r="B14" s="16" t="s">
        <v>479</v>
      </c>
      <c r="C14" s="48" t="s">
        <v>480</v>
      </c>
      <c r="D14" s="34">
        <v>11</v>
      </c>
      <c r="E14" s="30">
        <v>527.70000000000005</v>
      </c>
      <c r="F14" s="34">
        <v>8</v>
      </c>
      <c r="G14" s="30">
        <v>364.3</v>
      </c>
      <c r="H14" s="30">
        <f t="shared" si="0"/>
        <v>-163.40000000000003</v>
      </c>
      <c r="I14" s="36">
        <f t="shared" si="1"/>
        <v>-0.30964563198787198</v>
      </c>
    </row>
    <row r="15" spans="1:9" x14ac:dyDescent="0.3">
      <c r="A15" s="16">
        <v>75437612</v>
      </c>
      <c r="B15" s="16" t="s">
        <v>481</v>
      </c>
      <c r="C15" s="44" t="s">
        <v>477</v>
      </c>
      <c r="D15" s="34">
        <v>3</v>
      </c>
      <c r="E15" s="30">
        <v>140.71</v>
      </c>
      <c r="F15" s="34">
        <v>5</v>
      </c>
      <c r="G15" s="30">
        <v>284.8</v>
      </c>
      <c r="H15" s="30">
        <f t="shared" si="0"/>
        <v>144.09</v>
      </c>
      <c r="I15" s="36">
        <f t="shared" si="1"/>
        <v>1.0240210361736906</v>
      </c>
    </row>
    <row r="16" spans="1:9" x14ac:dyDescent="0.3">
      <c r="A16" s="16">
        <v>75253329</v>
      </c>
      <c r="B16" s="16" t="s">
        <v>482</v>
      </c>
      <c r="C16" s="48" t="s">
        <v>480</v>
      </c>
      <c r="D16" s="34">
        <v>4</v>
      </c>
      <c r="E16" s="30">
        <v>120.52</v>
      </c>
      <c r="F16" s="34">
        <v>9</v>
      </c>
      <c r="G16" s="30">
        <v>161.55000000000001</v>
      </c>
      <c r="H16" s="30">
        <f t="shared" si="0"/>
        <v>41.030000000000015</v>
      </c>
      <c r="I16" s="36">
        <f t="shared" si="1"/>
        <v>0.34044142051111859</v>
      </c>
    </row>
    <row r="17" spans="1:9" x14ac:dyDescent="0.3">
      <c r="A17" s="16">
        <v>75253328</v>
      </c>
      <c r="B17" s="16" t="s">
        <v>483</v>
      </c>
      <c r="C17" s="48" t="s">
        <v>480</v>
      </c>
      <c r="D17" s="34">
        <v>16</v>
      </c>
      <c r="E17" s="30">
        <v>375.88</v>
      </c>
      <c r="F17" s="34">
        <v>4</v>
      </c>
      <c r="G17" s="30">
        <v>89.28</v>
      </c>
      <c r="H17" s="30">
        <f t="shared" si="0"/>
        <v>-286.60000000000002</v>
      </c>
      <c r="I17" s="36">
        <f t="shared" si="1"/>
        <v>-0.7624773863999148</v>
      </c>
    </row>
    <row r="18" spans="1:9" x14ac:dyDescent="0.3">
      <c r="A18" s="16">
        <v>75437618</v>
      </c>
      <c r="B18" s="16" t="s">
        <v>484</v>
      </c>
      <c r="C18" s="44" t="s">
        <v>477</v>
      </c>
      <c r="D18" s="34">
        <v>0</v>
      </c>
      <c r="E18" s="30">
        <v>0</v>
      </c>
      <c r="F18" s="34">
        <v>3</v>
      </c>
      <c r="G18" s="30">
        <v>71.52</v>
      </c>
      <c r="H18" s="30">
        <f t="shared" si="0"/>
        <v>71.52</v>
      </c>
      <c r="I18" s="36" t="str">
        <f t="shared" si="1"/>
        <v/>
      </c>
    </row>
    <row r="19" spans="1:9" x14ac:dyDescent="0.3">
      <c r="A19" s="16">
        <v>75437619</v>
      </c>
      <c r="B19" s="16" t="s">
        <v>485</v>
      </c>
      <c r="C19" s="44" t="s">
        <v>477</v>
      </c>
      <c r="D19" s="34">
        <v>2</v>
      </c>
      <c r="E19" s="30">
        <v>47.68</v>
      </c>
      <c r="F19" s="34">
        <v>2</v>
      </c>
      <c r="G19" s="30">
        <v>47.68</v>
      </c>
      <c r="H19" s="30">
        <f t="shared" si="0"/>
        <v>0</v>
      </c>
      <c r="I19" s="36">
        <f t="shared" si="1"/>
        <v>0</v>
      </c>
    </row>
    <row r="20" spans="1:9" x14ac:dyDescent="0.3">
      <c r="A20" s="16">
        <v>75437620</v>
      </c>
      <c r="B20" s="16" t="s">
        <v>486</v>
      </c>
      <c r="C20" s="44" t="s">
        <v>477</v>
      </c>
      <c r="D20" s="34">
        <v>0</v>
      </c>
      <c r="E20" s="30">
        <v>0</v>
      </c>
      <c r="F20" s="34">
        <v>1</v>
      </c>
      <c r="G20" s="30">
        <v>23.84</v>
      </c>
      <c r="H20" s="30">
        <f t="shared" si="0"/>
        <v>23.84</v>
      </c>
      <c r="I20" s="36" t="str">
        <f t="shared" si="1"/>
        <v/>
      </c>
    </row>
    <row r="21" spans="1:9" x14ac:dyDescent="0.3">
      <c r="A21" s="16">
        <v>75437617</v>
      </c>
      <c r="B21" s="16" t="s">
        <v>487</v>
      </c>
      <c r="C21" s="44" t="s">
        <v>477</v>
      </c>
      <c r="D21" s="34">
        <v>1</v>
      </c>
      <c r="E21" s="30">
        <v>20.8</v>
      </c>
      <c r="F21" s="34">
        <v>1</v>
      </c>
      <c r="G21" s="30">
        <v>20.8</v>
      </c>
      <c r="H21" s="30">
        <f t="shared" si="0"/>
        <v>0</v>
      </c>
      <c r="I21" s="36">
        <f t="shared" si="1"/>
        <v>0</v>
      </c>
    </row>
    <row r="22" spans="1:9" x14ac:dyDescent="0.3">
      <c r="A22" s="16">
        <v>75244435</v>
      </c>
      <c r="B22" s="16" t="s">
        <v>488</v>
      </c>
      <c r="C22" s="48" t="s">
        <v>480</v>
      </c>
      <c r="D22" s="34">
        <v>5</v>
      </c>
      <c r="E22" s="30">
        <v>147.66999999999999</v>
      </c>
      <c r="F22" s="34">
        <v>2</v>
      </c>
      <c r="G22" s="30">
        <v>9.15</v>
      </c>
      <c r="H22" s="30">
        <f t="shared" si="0"/>
        <v>-138.51999999999998</v>
      </c>
      <c r="I22" s="36">
        <f t="shared" si="1"/>
        <v>-0.93803751608315844</v>
      </c>
    </row>
    <row r="23" spans="1:9" x14ac:dyDescent="0.3">
      <c r="A23" s="16">
        <v>75244431</v>
      </c>
      <c r="B23" s="16" t="s">
        <v>489</v>
      </c>
      <c r="C23" s="48" t="s">
        <v>480</v>
      </c>
      <c r="D23" s="34">
        <v>4</v>
      </c>
      <c r="E23" s="30">
        <v>36.159999999999997</v>
      </c>
      <c r="F23" s="34">
        <v>12</v>
      </c>
      <c r="G23" s="30">
        <v>2.64</v>
      </c>
      <c r="H23" s="30">
        <f t="shared" si="0"/>
        <v>-33.519999999999996</v>
      </c>
      <c r="I23" s="36">
        <f t="shared" si="1"/>
        <v>-0.92699115044247782</v>
      </c>
    </row>
    <row r="24" spans="1:9" x14ac:dyDescent="0.3">
      <c r="A24" s="16">
        <v>75214931</v>
      </c>
      <c r="B24" s="16" t="s">
        <v>472</v>
      </c>
      <c r="C24" s="48" t="s">
        <v>480</v>
      </c>
      <c r="D24" s="34">
        <v>5</v>
      </c>
      <c r="E24" s="30">
        <v>331.7</v>
      </c>
      <c r="F24" s="34">
        <v>0</v>
      </c>
      <c r="G24" s="30">
        <v>0</v>
      </c>
      <c r="H24" s="30">
        <f t="shared" si="0"/>
        <v>-331.7</v>
      </c>
      <c r="I24" s="36">
        <f t="shared" si="1"/>
        <v>-1</v>
      </c>
    </row>
    <row r="25" spans="1:9" x14ac:dyDescent="0.3">
      <c r="A25" s="16">
        <v>75244436</v>
      </c>
      <c r="B25" s="16" t="s">
        <v>490</v>
      </c>
      <c r="C25" s="48" t="s">
        <v>480</v>
      </c>
      <c r="D25" s="34">
        <v>0</v>
      </c>
      <c r="E25" s="30">
        <v>0</v>
      </c>
      <c r="F25" s="34">
        <v>0</v>
      </c>
      <c r="G25" s="30">
        <v>0</v>
      </c>
      <c r="H25" s="30">
        <f t="shared" si="0"/>
        <v>0</v>
      </c>
      <c r="I25" s="36" t="str">
        <f t="shared" si="1"/>
        <v/>
      </c>
    </row>
    <row r="26" spans="1:9" x14ac:dyDescent="0.3">
      <c r="A26" s="16">
        <v>75244433</v>
      </c>
      <c r="B26" s="16" t="s">
        <v>491</v>
      </c>
      <c r="C26" s="48" t="s">
        <v>480</v>
      </c>
      <c r="D26" s="34">
        <v>0</v>
      </c>
      <c r="E26" s="30">
        <v>0</v>
      </c>
      <c r="F26" s="34">
        <v>0</v>
      </c>
      <c r="G26" s="30">
        <v>0</v>
      </c>
      <c r="H26" s="30">
        <f t="shared" si="0"/>
        <v>0</v>
      </c>
      <c r="I26" s="36" t="str">
        <f t="shared" si="1"/>
        <v/>
      </c>
    </row>
    <row r="27" spans="1:9" x14ac:dyDescent="0.3">
      <c r="A27" s="131"/>
      <c r="B27" s="68" t="s">
        <v>492</v>
      </c>
      <c r="D27" s="49">
        <f>SUM(D6:D26)</f>
        <v>323</v>
      </c>
      <c r="E27" s="46">
        <f>SUM(E6:E26)</f>
        <v>10325.049999999999</v>
      </c>
      <c r="F27" s="49">
        <f>SUM(F6:F26)</f>
        <v>333</v>
      </c>
      <c r="G27" s="46">
        <f>SUM(G6:G26)</f>
        <v>10906.039999999997</v>
      </c>
      <c r="H27" s="46">
        <f>SUM(H6:H26)</f>
        <v>580.98999999999933</v>
      </c>
    </row>
    <row r="28" spans="1:9" x14ac:dyDescent="0.3">
      <c r="A28" s="131"/>
      <c r="B28" s="131"/>
    </row>
    <row r="29" spans="1:9" x14ac:dyDescent="0.3">
      <c r="A29" s="68" t="s">
        <v>505</v>
      </c>
      <c r="B29" s="131"/>
    </row>
    <row r="30" spans="1:9" x14ac:dyDescent="0.3">
      <c r="A30" s="10" t="s">
        <v>506</v>
      </c>
      <c r="B30" s="10" t="s">
        <v>507</v>
      </c>
      <c r="C30" s="10" t="s">
        <v>502</v>
      </c>
      <c r="D30" s="10" t="s">
        <v>504</v>
      </c>
      <c r="E30" s="10" t="s">
        <v>468</v>
      </c>
      <c r="F30" s="10" t="s">
        <v>460</v>
      </c>
      <c r="G30" s="10" t="s">
        <v>508</v>
      </c>
    </row>
    <row r="31" spans="1:9" x14ac:dyDescent="0.3">
      <c r="A31" s="104">
        <v>22</v>
      </c>
      <c r="B31" s="104" t="s">
        <v>509</v>
      </c>
      <c r="C31" s="31">
        <v>502.44</v>
      </c>
      <c r="D31" s="31">
        <v>1308.44</v>
      </c>
      <c r="E31" s="31">
        <f t="shared" ref="E31:E70" si="2">D31-C31</f>
        <v>806</v>
      </c>
      <c r="F31" s="37">
        <f t="shared" ref="F31:F70" si="3">IFERROR(D31/C31-1,"")</f>
        <v>1.6041716423851606</v>
      </c>
      <c r="G31" s="50" t="s">
        <v>510</v>
      </c>
    </row>
    <row r="32" spans="1:9" x14ac:dyDescent="0.3">
      <c r="A32" s="104">
        <v>457</v>
      </c>
      <c r="B32" s="104" t="s">
        <v>511</v>
      </c>
      <c r="C32" s="31">
        <v>466.7</v>
      </c>
      <c r="D32" s="31">
        <v>865.46</v>
      </c>
      <c r="E32" s="31">
        <f t="shared" si="2"/>
        <v>398.76000000000005</v>
      </c>
      <c r="F32" s="37">
        <f t="shared" si="3"/>
        <v>0.85442468395114646</v>
      </c>
      <c r="G32" s="50"/>
    </row>
    <row r="33" spans="1:7" x14ac:dyDescent="0.3">
      <c r="A33" s="16">
        <v>108</v>
      </c>
      <c r="B33" s="16" t="s">
        <v>512</v>
      </c>
      <c r="C33" s="30">
        <v>670.72</v>
      </c>
      <c r="D33" s="30">
        <v>717.22</v>
      </c>
      <c r="E33" s="30">
        <f t="shared" si="2"/>
        <v>46.5</v>
      </c>
      <c r="F33" s="36">
        <f t="shared" si="3"/>
        <v>6.9328482824427384E-2</v>
      </c>
      <c r="G33" s="32" t="s">
        <v>513</v>
      </c>
    </row>
    <row r="34" spans="1:7" x14ac:dyDescent="0.3">
      <c r="A34" s="16">
        <v>491</v>
      </c>
      <c r="B34" s="16" t="s">
        <v>514</v>
      </c>
      <c r="C34" s="30">
        <v>801.82</v>
      </c>
      <c r="D34" s="30">
        <v>630.86</v>
      </c>
      <c r="E34" s="30">
        <f t="shared" si="2"/>
        <v>-170.96000000000004</v>
      </c>
      <c r="F34" s="36">
        <f t="shared" si="3"/>
        <v>-0.2132149360205533</v>
      </c>
      <c r="G34" s="32" t="s">
        <v>515</v>
      </c>
    </row>
    <row r="35" spans="1:7" x14ac:dyDescent="0.3">
      <c r="A35" s="104">
        <v>47</v>
      </c>
      <c r="B35" s="104" t="s">
        <v>516</v>
      </c>
      <c r="C35" s="31">
        <v>108.75</v>
      </c>
      <c r="D35" s="31">
        <v>479.11</v>
      </c>
      <c r="E35" s="31">
        <f t="shared" si="2"/>
        <v>370.36</v>
      </c>
      <c r="F35" s="37">
        <f t="shared" si="3"/>
        <v>3.4056091954022989</v>
      </c>
      <c r="G35" s="50"/>
    </row>
    <row r="36" spans="1:7" x14ac:dyDescent="0.3">
      <c r="A36" s="16">
        <v>4037</v>
      </c>
      <c r="B36" s="16" t="s">
        <v>517</v>
      </c>
      <c r="C36" s="30">
        <v>521.35</v>
      </c>
      <c r="D36" s="30">
        <v>444.99</v>
      </c>
      <c r="E36" s="30">
        <f t="shared" si="2"/>
        <v>-76.360000000000014</v>
      </c>
      <c r="F36" s="36">
        <f t="shared" si="3"/>
        <v>-0.14646590582142516</v>
      </c>
      <c r="G36" s="32"/>
    </row>
    <row r="37" spans="1:7" x14ac:dyDescent="0.3">
      <c r="A37" s="16">
        <v>727</v>
      </c>
      <c r="B37" s="16" t="s">
        <v>518</v>
      </c>
      <c r="C37" s="30">
        <v>385.65</v>
      </c>
      <c r="D37" s="30">
        <v>427.05</v>
      </c>
      <c r="E37" s="30">
        <f t="shared" si="2"/>
        <v>41.400000000000034</v>
      </c>
      <c r="F37" s="36">
        <f t="shared" si="3"/>
        <v>0.10735122520420082</v>
      </c>
      <c r="G37" s="32"/>
    </row>
    <row r="38" spans="1:7" x14ac:dyDescent="0.3">
      <c r="A38" s="104">
        <v>46</v>
      </c>
      <c r="B38" s="104" t="s">
        <v>519</v>
      </c>
      <c r="C38" s="31">
        <v>53.56</v>
      </c>
      <c r="D38" s="31">
        <v>376.85</v>
      </c>
      <c r="E38" s="31">
        <f t="shared" si="2"/>
        <v>323.29000000000002</v>
      </c>
      <c r="F38" s="37">
        <f t="shared" si="3"/>
        <v>6.036034353995519</v>
      </c>
      <c r="G38" s="50"/>
    </row>
    <row r="39" spans="1:7" x14ac:dyDescent="0.3">
      <c r="A39" s="16">
        <v>4433</v>
      </c>
      <c r="B39" s="16" t="s">
        <v>520</v>
      </c>
      <c r="C39" s="30">
        <v>83.69</v>
      </c>
      <c r="D39" s="30">
        <v>339.18</v>
      </c>
      <c r="E39" s="30">
        <f t="shared" si="2"/>
        <v>255.49</v>
      </c>
      <c r="F39" s="36">
        <f t="shared" si="3"/>
        <v>3.052813956267177</v>
      </c>
      <c r="G39" s="32"/>
    </row>
    <row r="40" spans="1:7" x14ac:dyDescent="0.3">
      <c r="A40" s="103">
        <v>23</v>
      </c>
      <c r="B40" s="103" t="s">
        <v>521</v>
      </c>
      <c r="C40" s="52">
        <v>871.34</v>
      </c>
      <c r="D40" s="52">
        <v>337.86</v>
      </c>
      <c r="E40" s="52">
        <f t="shared" si="2"/>
        <v>-533.48</v>
      </c>
      <c r="F40" s="53">
        <f t="shared" si="3"/>
        <v>-0.61225239286616018</v>
      </c>
      <c r="G40" s="54"/>
    </row>
    <row r="41" spans="1:7" x14ac:dyDescent="0.3">
      <c r="A41" s="16">
        <v>121</v>
      </c>
      <c r="B41" s="16" t="s">
        <v>522</v>
      </c>
      <c r="C41" s="30">
        <v>174.86</v>
      </c>
      <c r="D41" s="30">
        <v>335.72</v>
      </c>
      <c r="E41" s="30">
        <f t="shared" si="2"/>
        <v>160.86000000000001</v>
      </c>
      <c r="F41" s="36">
        <f t="shared" si="3"/>
        <v>0.9199359487590073</v>
      </c>
      <c r="G41" s="32" t="s">
        <v>523</v>
      </c>
    </row>
    <row r="42" spans="1:7" x14ac:dyDescent="0.3">
      <c r="A42" s="16">
        <v>1054</v>
      </c>
      <c r="B42" s="16" t="s">
        <v>524</v>
      </c>
      <c r="C42" s="30">
        <v>44.64</v>
      </c>
      <c r="D42" s="30">
        <v>331.98</v>
      </c>
      <c r="E42" s="30">
        <f t="shared" si="2"/>
        <v>287.34000000000003</v>
      </c>
      <c r="F42" s="36">
        <f t="shared" si="3"/>
        <v>6.4368279569892479</v>
      </c>
      <c r="G42" s="32"/>
    </row>
    <row r="43" spans="1:7" x14ac:dyDescent="0.3">
      <c r="A43" s="16">
        <v>4414</v>
      </c>
      <c r="B43" s="16" t="s">
        <v>525</v>
      </c>
      <c r="C43" s="30">
        <v>385.19</v>
      </c>
      <c r="D43" s="30">
        <v>325.45</v>
      </c>
      <c r="E43" s="30">
        <f t="shared" si="2"/>
        <v>-59.740000000000009</v>
      </c>
      <c r="F43" s="36">
        <f t="shared" si="3"/>
        <v>-0.1550922921155794</v>
      </c>
      <c r="G43" s="32"/>
    </row>
    <row r="44" spans="1:7" x14ac:dyDescent="0.3">
      <c r="A44" s="16">
        <v>33</v>
      </c>
      <c r="B44" s="16" t="s">
        <v>526</v>
      </c>
      <c r="C44" s="30">
        <v>106.42</v>
      </c>
      <c r="D44" s="30">
        <v>319.37</v>
      </c>
      <c r="E44" s="30">
        <f t="shared" si="2"/>
        <v>212.95</v>
      </c>
      <c r="F44" s="36">
        <f t="shared" si="3"/>
        <v>2.0010336402931781</v>
      </c>
      <c r="G44" s="32"/>
    </row>
    <row r="45" spans="1:7" x14ac:dyDescent="0.3">
      <c r="A45" s="16">
        <v>459</v>
      </c>
      <c r="B45" s="16" t="s">
        <v>527</v>
      </c>
      <c r="C45" s="30">
        <v>178.56</v>
      </c>
      <c r="D45" s="30">
        <v>288.88</v>
      </c>
      <c r="E45" s="30">
        <f t="shared" si="2"/>
        <v>110.32</v>
      </c>
      <c r="F45" s="36">
        <f t="shared" si="3"/>
        <v>0.61783154121863793</v>
      </c>
      <c r="G45" s="32"/>
    </row>
    <row r="46" spans="1:7" x14ac:dyDescent="0.3">
      <c r="A46" s="16">
        <v>180</v>
      </c>
      <c r="B46" s="16" t="s">
        <v>528</v>
      </c>
      <c r="C46" s="30">
        <v>218.3</v>
      </c>
      <c r="D46" s="30">
        <v>252.04</v>
      </c>
      <c r="E46" s="30">
        <f t="shared" si="2"/>
        <v>33.739999999999981</v>
      </c>
      <c r="F46" s="36">
        <f t="shared" si="3"/>
        <v>0.15455794777828658</v>
      </c>
      <c r="G46" s="32"/>
    </row>
    <row r="47" spans="1:7" x14ac:dyDescent="0.3">
      <c r="A47" s="16">
        <v>34</v>
      </c>
      <c r="B47" s="16" t="s">
        <v>529</v>
      </c>
      <c r="C47" s="30">
        <v>276.77</v>
      </c>
      <c r="D47" s="30">
        <v>235.46</v>
      </c>
      <c r="E47" s="30">
        <f t="shared" si="2"/>
        <v>-41.309999999999974</v>
      </c>
      <c r="F47" s="36">
        <f t="shared" si="3"/>
        <v>-0.1492575062326118</v>
      </c>
      <c r="G47" s="32" t="s">
        <v>530</v>
      </c>
    </row>
    <row r="48" spans="1:7" x14ac:dyDescent="0.3">
      <c r="A48" s="103">
        <v>169</v>
      </c>
      <c r="B48" s="103" t="s">
        <v>531</v>
      </c>
      <c r="C48" s="52">
        <v>645.58000000000004</v>
      </c>
      <c r="D48" s="52">
        <v>230.44</v>
      </c>
      <c r="E48" s="52">
        <f t="shared" si="2"/>
        <v>-415.14000000000004</v>
      </c>
      <c r="F48" s="53">
        <f t="shared" si="3"/>
        <v>-0.64304966077016013</v>
      </c>
      <c r="G48" s="54"/>
    </row>
    <row r="49" spans="1:7" x14ac:dyDescent="0.3">
      <c r="A49" s="16">
        <v>4087</v>
      </c>
      <c r="B49" s="16" t="s">
        <v>532</v>
      </c>
      <c r="C49" s="30">
        <v>381.25</v>
      </c>
      <c r="D49" s="30">
        <v>229.82</v>
      </c>
      <c r="E49" s="30">
        <f t="shared" si="2"/>
        <v>-151.43</v>
      </c>
      <c r="F49" s="36">
        <f t="shared" si="3"/>
        <v>-0.39719344262295087</v>
      </c>
      <c r="G49" s="32" t="s">
        <v>533</v>
      </c>
    </row>
    <row r="50" spans="1:7" x14ac:dyDescent="0.3">
      <c r="A50" s="16">
        <v>419</v>
      </c>
      <c r="B50" s="16" t="s">
        <v>534</v>
      </c>
      <c r="C50" s="30">
        <v>52.45</v>
      </c>
      <c r="D50" s="30">
        <v>218.92</v>
      </c>
      <c r="E50" s="30">
        <f t="shared" si="2"/>
        <v>166.46999999999997</v>
      </c>
      <c r="F50" s="36">
        <f t="shared" si="3"/>
        <v>3.1738798856053378</v>
      </c>
      <c r="G50" s="32"/>
    </row>
    <row r="51" spans="1:7" x14ac:dyDescent="0.3">
      <c r="A51" s="16">
        <v>344</v>
      </c>
      <c r="B51" s="16" t="s">
        <v>535</v>
      </c>
      <c r="C51" s="30">
        <v>0</v>
      </c>
      <c r="D51" s="30">
        <v>218.13</v>
      </c>
      <c r="E51" s="30">
        <f t="shared" si="2"/>
        <v>218.13</v>
      </c>
      <c r="F51" s="36" t="str">
        <f t="shared" si="3"/>
        <v/>
      </c>
      <c r="G51" s="32"/>
    </row>
    <row r="52" spans="1:7" x14ac:dyDescent="0.3">
      <c r="A52" s="16">
        <v>4176</v>
      </c>
      <c r="B52" s="16" t="s">
        <v>536</v>
      </c>
      <c r="C52" s="30">
        <v>77.760000000000005</v>
      </c>
      <c r="D52" s="30">
        <v>209.38</v>
      </c>
      <c r="E52" s="30">
        <f t="shared" si="2"/>
        <v>131.62</v>
      </c>
      <c r="F52" s="36">
        <f t="shared" si="3"/>
        <v>1.6926440329218106</v>
      </c>
      <c r="G52" s="32"/>
    </row>
    <row r="53" spans="1:7" x14ac:dyDescent="0.3">
      <c r="A53" s="16">
        <v>4490</v>
      </c>
      <c r="B53" s="16" t="s">
        <v>537</v>
      </c>
      <c r="C53" s="30">
        <v>349.44</v>
      </c>
      <c r="D53" s="30">
        <v>206.42</v>
      </c>
      <c r="E53" s="30">
        <f t="shared" si="2"/>
        <v>-143.02000000000001</v>
      </c>
      <c r="F53" s="36">
        <f t="shared" si="3"/>
        <v>-0.40928342490842495</v>
      </c>
      <c r="G53" s="32"/>
    </row>
    <row r="54" spans="1:7" x14ac:dyDescent="0.3">
      <c r="A54" s="16">
        <v>4412</v>
      </c>
      <c r="B54" s="16" t="s">
        <v>538</v>
      </c>
      <c r="C54" s="30">
        <v>366.24</v>
      </c>
      <c r="D54" s="30">
        <v>202.09</v>
      </c>
      <c r="E54" s="30">
        <f t="shared" si="2"/>
        <v>-164.15</v>
      </c>
      <c r="F54" s="36">
        <f t="shared" si="3"/>
        <v>-0.4482033639143731</v>
      </c>
      <c r="G54" s="32"/>
    </row>
    <row r="55" spans="1:7" x14ac:dyDescent="0.3">
      <c r="A55" s="16">
        <v>4173</v>
      </c>
      <c r="B55" s="16" t="s">
        <v>539</v>
      </c>
      <c r="C55" s="30">
        <v>196.7</v>
      </c>
      <c r="D55" s="30">
        <v>199.2</v>
      </c>
      <c r="E55" s="30">
        <f t="shared" si="2"/>
        <v>2.5</v>
      </c>
      <c r="F55" s="36">
        <f t="shared" si="3"/>
        <v>1.2709710218607118E-2</v>
      </c>
      <c r="G55" s="32"/>
    </row>
    <row r="56" spans="1:7" x14ac:dyDescent="0.3">
      <c r="A56" s="16">
        <v>4317</v>
      </c>
      <c r="B56" s="16" t="s">
        <v>540</v>
      </c>
      <c r="C56" s="30">
        <v>174.65</v>
      </c>
      <c r="D56" s="30">
        <v>163.30000000000001</v>
      </c>
      <c r="E56" s="30">
        <f t="shared" si="2"/>
        <v>-11.349999999999994</v>
      </c>
      <c r="F56" s="36">
        <f t="shared" si="3"/>
        <v>-6.498711709132543E-2</v>
      </c>
      <c r="G56" s="32" t="s">
        <v>541</v>
      </c>
    </row>
    <row r="57" spans="1:7" x14ac:dyDescent="0.3">
      <c r="A57" s="16">
        <v>4370</v>
      </c>
      <c r="B57" s="16" t="s">
        <v>542</v>
      </c>
      <c r="C57" s="30">
        <v>66.959999999999994</v>
      </c>
      <c r="D57" s="30">
        <v>132.4</v>
      </c>
      <c r="E57" s="30">
        <f t="shared" si="2"/>
        <v>65.440000000000012</v>
      </c>
      <c r="F57" s="36">
        <f t="shared" si="3"/>
        <v>0.97729988052568717</v>
      </c>
      <c r="G57" s="32"/>
    </row>
    <row r="58" spans="1:7" x14ac:dyDescent="0.3">
      <c r="A58" s="16">
        <v>24</v>
      </c>
      <c r="B58" s="16" t="s">
        <v>543</v>
      </c>
      <c r="C58" s="30">
        <v>274.29000000000002</v>
      </c>
      <c r="D58" s="30">
        <v>131.54</v>
      </c>
      <c r="E58" s="30">
        <f t="shared" si="2"/>
        <v>-142.75000000000003</v>
      </c>
      <c r="F58" s="36">
        <f t="shared" si="3"/>
        <v>-0.5204345765430749</v>
      </c>
      <c r="G58" s="32"/>
    </row>
    <row r="59" spans="1:7" x14ac:dyDescent="0.3">
      <c r="A59" s="16">
        <v>414</v>
      </c>
      <c r="B59" s="16" t="s">
        <v>544</v>
      </c>
      <c r="C59" s="30">
        <v>106.25</v>
      </c>
      <c r="D59" s="30">
        <v>128.57</v>
      </c>
      <c r="E59" s="30">
        <f t="shared" si="2"/>
        <v>22.319999999999993</v>
      </c>
      <c r="F59" s="36">
        <f t="shared" si="3"/>
        <v>0.21007058823529401</v>
      </c>
      <c r="G59" s="32" t="s">
        <v>545</v>
      </c>
    </row>
    <row r="60" spans="1:7" x14ac:dyDescent="0.3">
      <c r="A60" s="16">
        <v>460</v>
      </c>
      <c r="B60" s="16" t="s">
        <v>546</v>
      </c>
      <c r="C60" s="30">
        <v>0</v>
      </c>
      <c r="D60" s="30">
        <v>109.73</v>
      </c>
      <c r="E60" s="30">
        <f t="shared" si="2"/>
        <v>109.73</v>
      </c>
      <c r="F60" s="36" t="str">
        <f t="shared" si="3"/>
        <v/>
      </c>
      <c r="G60" s="32"/>
    </row>
    <row r="61" spans="1:7" x14ac:dyDescent="0.3">
      <c r="A61" s="103">
        <v>4126</v>
      </c>
      <c r="B61" s="103" t="s">
        <v>547</v>
      </c>
      <c r="C61" s="52">
        <v>427.86</v>
      </c>
      <c r="D61" s="52">
        <v>90.18</v>
      </c>
      <c r="E61" s="52">
        <f t="shared" si="2"/>
        <v>-337.68</v>
      </c>
      <c r="F61" s="53">
        <f t="shared" si="3"/>
        <v>-0.78923012200252418</v>
      </c>
      <c r="G61" s="54"/>
    </row>
    <row r="62" spans="1:7" x14ac:dyDescent="0.3">
      <c r="A62" s="16">
        <v>458</v>
      </c>
      <c r="B62" s="16" t="s">
        <v>548</v>
      </c>
      <c r="C62" s="30">
        <v>128.05000000000001</v>
      </c>
      <c r="D62" s="30">
        <v>85.98</v>
      </c>
      <c r="E62" s="30">
        <f t="shared" si="2"/>
        <v>-42.070000000000007</v>
      </c>
      <c r="F62" s="36">
        <f t="shared" si="3"/>
        <v>-0.32854353768059352</v>
      </c>
      <c r="G62" s="32"/>
    </row>
    <row r="63" spans="1:7" x14ac:dyDescent="0.3">
      <c r="A63" s="16">
        <v>35</v>
      </c>
      <c r="B63" s="16" t="s">
        <v>549</v>
      </c>
      <c r="C63" s="30">
        <v>238.4</v>
      </c>
      <c r="D63" s="30">
        <v>85.62</v>
      </c>
      <c r="E63" s="30">
        <f t="shared" si="2"/>
        <v>-152.78</v>
      </c>
      <c r="F63" s="36">
        <f t="shared" si="3"/>
        <v>-0.64085570469798658</v>
      </c>
      <c r="G63" s="32"/>
    </row>
    <row r="64" spans="1:7" x14ac:dyDescent="0.3">
      <c r="A64" s="16">
        <v>21</v>
      </c>
      <c r="B64" s="16" t="s">
        <v>550</v>
      </c>
      <c r="C64" s="30">
        <v>119.92</v>
      </c>
      <c r="D64" s="30">
        <v>66.61</v>
      </c>
      <c r="E64" s="30">
        <f t="shared" si="2"/>
        <v>-53.31</v>
      </c>
      <c r="F64" s="36">
        <f t="shared" si="3"/>
        <v>-0.44454636424282856</v>
      </c>
      <c r="G64" s="32" t="s">
        <v>551</v>
      </c>
    </row>
    <row r="65" spans="1:7" x14ac:dyDescent="0.3">
      <c r="A65" s="16">
        <v>20</v>
      </c>
      <c r="B65" s="16" t="s">
        <v>552</v>
      </c>
      <c r="C65" s="30">
        <v>222.95</v>
      </c>
      <c r="D65" s="30">
        <v>66.61</v>
      </c>
      <c r="E65" s="30">
        <f t="shared" si="2"/>
        <v>-156.33999999999997</v>
      </c>
      <c r="F65" s="36">
        <f t="shared" si="3"/>
        <v>-0.70123346041713386</v>
      </c>
      <c r="G65" s="32"/>
    </row>
    <row r="66" spans="1:7" x14ac:dyDescent="0.3">
      <c r="A66" s="16">
        <v>948</v>
      </c>
      <c r="B66" s="16" t="s">
        <v>553</v>
      </c>
      <c r="C66" s="30">
        <v>45.08</v>
      </c>
      <c r="D66" s="30">
        <v>61.61</v>
      </c>
      <c r="E66" s="30">
        <f t="shared" si="2"/>
        <v>16.53</v>
      </c>
      <c r="F66" s="36">
        <f t="shared" si="3"/>
        <v>0.366681455190772</v>
      </c>
      <c r="G66" s="32" t="s">
        <v>554</v>
      </c>
    </row>
    <row r="67" spans="1:7" x14ac:dyDescent="0.3">
      <c r="A67" s="16">
        <v>164</v>
      </c>
      <c r="B67" s="16" t="s">
        <v>555</v>
      </c>
      <c r="C67" s="30">
        <v>331.98</v>
      </c>
      <c r="D67" s="30">
        <v>44.64</v>
      </c>
      <c r="E67" s="30">
        <f t="shared" si="2"/>
        <v>-287.34000000000003</v>
      </c>
      <c r="F67" s="36">
        <f t="shared" si="3"/>
        <v>-0.86553406831736845</v>
      </c>
      <c r="G67" s="32" t="s">
        <v>556</v>
      </c>
    </row>
    <row r="68" spans="1:7" x14ac:dyDescent="0.3">
      <c r="A68" s="16">
        <v>4116</v>
      </c>
      <c r="B68" s="16" t="s">
        <v>557</v>
      </c>
      <c r="C68" s="30">
        <v>139.63999999999999</v>
      </c>
      <c r="D68" s="30">
        <v>8.93</v>
      </c>
      <c r="E68" s="30">
        <f t="shared" si="2"/>
        <v>-130.70999999999998</v>
      </c>
      <c r="F68" s="36">
        <f t="shared" si="3"/>
        <v>-0.9360498424520195</v>
      </c>
      <c r="G68" s="32"/>
    </row>
    <row r="69" spans="1:7" x14ac:dyDescent="0.3">
      <c r="A69" s="16">
        <v>1087</v>
      </c>
      <c r="B69" s="16" t="s">
        <v>558</v>
      </c>
      <c r="C69" s="30">
        <v>0</v>
      </c>
      <c r="D69" s="30">
        <v>0</v>
      </c>
      <c r="E69" s="30">
        <f t="shared" si="2"/>
        <v>0</v>
      </c>
      <c r="F69" s="36" t="str">
        <f t="shared" si="3"/>
        <v/>
      </c>
      <c r="G69" s="32"/>
    </row>
    <row r="70" spans="1:7" x14ac:dyDescent="0.3">
      <c r="A70" s="16">
        <v>4491</v>
      </c>
      <c r="B70" s="16" t="s">
        <v>559</v>
      </c>
      <c r="C70" s="30">
        <v>128.84</v>
      </c>
      <c r="D70" s="30">
        <v>0</v>
      </c>
      <c r="E70" s="30">
        <f t="shared" si="2"/>
        <v>-128.84</v>
      </c>
      <c r="F70" s="36">
        <f t="shared" si="3"/>
        <v>-1</v>
      </c>
      <c r="G70" s="32" t="s">
        <v>560</v>
      </c>
    </row>
    <row r="71" spans="1:7" x14ac:dyDescent="0.3">
      <c r="A71" s="131"/>
      <c r="B71" s="131"/>
    </row>
    <row r="72" spans="1:7" x14ac:dyDescent="0.3">
      <c r="A72" s="131"/>
      <c r="B72" s="131"/>
    </row>
    <row r="73" spans="1:7" x14ac:dyDescent="0.3">
      <c r="A73" s="68" t="s">
        <v>561</v>
      </c>
      <c r="B73" s="131"/>
    </row>
    <row r="74" spans="1:7" x14ac:dyDescent="0.3">
      <c r="A74" s="10" t="s">
        <v>562</v>
      </c>
      <c r="B74" s="10" t="s">
        <v>352</v>
      </c>
      <c r="C74" s="10" t="s">
        <v>563</v>
      </c>
      <c r="D74" s="10" t="s">
        <v>564</v>
      </c>
    </row>
    <row r="75" spans="1:7" x14ac:dyDescent="0.3">
      <c r="A75" s="140" t="s">
        <v>565</v>
      </c>
      <c r="B75" s="104" t="s">
        <v>566</v>
      </c>
      <c r="C75" s="31">
        <v>2427.5</v>
      </c>
      <c r="D75" s="50"/>
    </row>
    <row r="76" spans="1:7" x14ac:dyDescent="0.3">
      <c r="A76" s="140" t="s">
        <v>567</v>
      </c>
      <c r="B76" s="104" t="s">
        <v>568</v>
      </c>
      <c r="C76" s="31">
        <v>1398</v>
      </c>
      <c r="D76" s="50"/>
    </row>
    <row r="77" spans="1:7" x14ac:dyDescent="0.3">
      <c r="A77" s="148" t="s">
        <v>569</v>
      </c>
      <c r="B77" s="16" t="s">
        <v>570</v>
      </c>
      <c r="C77" s="30">
        <v>988.4</v>
      </c>
      <c r="D77" s="32"/>
    </row>
    <row r="78" spans="1:7" x14ac:dyDescent="0.3">
      <c r="A78" s="148" t="s">
        <v>571</v>
      </c>
      <c r="B78" s="16" t="s">
        <v>572</v>
      </c>
      <c r="C78" s="30">
        <v>663.1</v>
      </c>
      <c r="D78" s="32"/>
    </row>
    <row r="79" spans="1:7" x14ac:dyDescent="0.3">
      <c r="A79" s="148" t="s">
        <v>573</v>
      </c>
      <c r="B79" s="16" t="s">
        <v>356</v>
      </c>
      <c r="C79" s="30">
        <v>978.1</v>
      </c>
      <c r="D79" s="32" t="s">
        <v>574</v>
      </c>
    </row>
    <row r="80" spans="1:7" x14ac:dyDescent="0.3">
      <c r="A80" s="148" t="s">
        <v>575</v>
      </c>
      <c r="B80" s="16" t="s">
        <v>360</v>
      </c>
      <c r="C80" s="30">
        <v>809.6</v>
      </c>
      <c r="D80" s="32" t="s">
        <v>576</v>
      </c>
    </row>
    <row r="81" spans="1:4" x14ac:dyDescent="0.3">
      <c r="A81" s="140" t="s">
        <v>577</v>
      </c>
      <c r="B81" s="104" t="s">
        <v>364</v>
      </c>
      <c r="C81" s="31">
        <v>3060.3</v>
      </c>
      <c r="D81" s="50" t="s">
        <v>578</v>
      </c>
    </row>
    <row r="82" spans="1:4" x14ac:dyDescent="0.3">
      <c r="A82" s="140" t="s">
        <v>565</v>
      </c>
      <c r="B82" s="104" t="s">
        <v>579</v>
      </c>
      <c r="C82" s="31">
        <v>3400.6</v>
      </c>
      <c r="D82" s="50"/>
    </row>
    <row r="83" spans="1:4" x14ac:dyDescent="0.3">
      <c r="A83" s="140" t="s">
        <v>567</v>
      </c>
      <c r="B83" s="104" t="s">
        <v>580</v>
      </c>
      <c r="C83" s="31">
        <v>2238</v>
      </c>
      <c r="D83" s="50"/>
    </row>
    <row r="84" spans="1:4" x14ac:dyDescent="0.3">
      <c r="A84" s="148" t="s">
        <v>569</v>
      </c>
      <c r="B84" s="16" t="s">
        <v>375</v>
      </c>
      <c r="C84" s="30">
        <v>473</v>
      </c>
      <c r="D84" s="32" t="s">
        <v>581</v>
      </c>
    </row>
    <row r="85" spans="1:4" x14ac:dyDescent="0.3">
      <c r="A85" s="148" t="s">
        <v>571</v>
      </c>
      <c r="B85" s="16" t="s">
        <v>386</v>
      </c>
      <c r="C85" s="30">
        <v>560.79999999999995</v>
      </c>
      <c r="D85" s="32" t="s">
        <v>582</v>
      </c>
    </row>
    <row r="86" spans="1:4" x14ac:dyDescent="0.3">
      <c r="A86" s="148" t="s">
        <v>573</v>
      </c>
      <c r="B86" s="16" t="s">
        <v>583</v>
      </c>
      <c r="C86" s="30">
        <v>1094.4000000000001</v>
      </c>
      <c r="D86" s="32"/>
    </row>
    <row r="87" spans="1:4" x14ac:dyDescent="0.3">
      <c r="A87" s="148" t="s">
        <v>575</v>
      </c>
      <c r="B87" s="16" t="s">
        <v>389</v>
      </c>
      <c r="C87" s="30">
        <v>495.8</v>
      </c>
      <c r="D87" s="32"/>
    </row>
    <row r="88" spans="1:4" x14ac:dyDescent="0.3">
      <c r="A88" s="140" t="s">
        <v>577</v>
      </c>
      <c r="B88" s="104" t="s">
        <v>392</v>
      </c>
      <c r="C88" s="31">
        <v>2643.5</v>
      </c>
      <c r="D88" s="50"/>
    </row>
    <row r="89" spans="1:4" ht="27" x14ac:dyDescent="0.3">
      <c r="A89" s="68" t="s">
        <v>584</v>
      </c>
      <c r="B89" s="131"/>
    </row>
  </sheetData>
  <hyperlinks>
    <hyperlink ref="A1" location="'0. HUB'!A1" display="◀ HUB" xr:uid="{00000000-0004-0000-0700-000000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I29"/>
  <sheetViews>
    <sheetView showGridLines="0" topLeftCell="A3" zoomScaleNormal="100" workbookViewId="0">
      <selection activeCell="A28" sqref="A28:I28"/>
    </sheetView>
  </sheetViews>
  <sheetFormatPr baseColWidth="10" defaultColWidth="8.6640625" defaultRowHeight="14.4" x14ac:dyDescent="0.3"/>
  <cols>
    <col min="1" max="1" width="9" bestFit="1" customWidth="1"/>
    <col min="2" max="2" width="40.77734375" customWidth="1"/>
    <col min="3" max="3" width="14.33203125" bestFit="1" customWidth="1"/>
    <col min="4" max="4" width="9.44140625" bestFit="1" customWidth="1"/>
    <col min="5" max="5" width="8.21875" bestFit="1" customWidth="1"/>
    <col min="6" max="6" width="10.44140625" bestFit="1" customWidth="1"/>
    <col min="7" max="7" width="7" bestFit="1" customWidth="1"/>
    <col min="8" max="8" width="10.44140625" bestFit="1" customWidth="1"/>
    <col min="9" max="9" width="9.33203125" bestFit="1" customWidth="1"/>
  </cols>
  <sheetData>
    <row r="1" spans="1:9" ht="63" x14ac:dyDescent="0.4">
      <c r="A1" s="2" t="s">
        <v>72</v>
      </c>
      <c r="B1" s="139" t="s">
        <v>585</v>
      </c>
    </row>
    <row r="2" spans="1:9" ht="66.599999999999994" x14ac:dyDescent="0.3">
      <c r="B2" s="47" t="s">
        <v>586</v>
      </c>
    </row>
    <row r="3" spans="1:9" x14ac:dyDescent="0.3">
      <c r="B3" s="131"/>
    </row>
    <row r="4" spans="1:9" ht="26.4" x14ac:dyDescent="0.3">
      <c r="A4" s="10" t="s">
        <v>465</v>
      </c>
      <c r="B4" s="10" t="s">
        <v>466</v>
      </c>
      <c r="C4" s="10" t="s">
        <v>467</v>
      </c>
      <c r="D4" s="10" t="s">
        <v>587</v>
      </c>
      <c r="E4" s="10" t="s">
        <v>588</v>
      </c>
      <c r="F4" s="10" t="s">
        <v>589</v>
      </c>
      <c r="G4" s="10" t="s">
        <v>590</v>
      </c>
      <c r="H4" s="10" t="s">
        <v>591</v>
      </c>
      <c r="I4" s="10" t="s">
        <v>270</v>
      </c>
    </row>
    <row r="5" spans="1:9" x14ac:dyDescent="0.3">
      <c r="A5" s="29">
        <v>75214930</v>
      </c>
      <c r="B5" s="16" t="s">
        <v>469</v>
      </c>
      <c r="C5" s="43" t="s">
        <v>470</v>
      </c>
      <c r="D5" s="34">
        <v>754</v>
      </c>
      <c r="E5" s="34">
        <v>42</v>
      </c>
      <c r="F5" s="36">
        <f t="shared" ref="F5:F25" si="0">IFERROR(E5/D5,0)</f>
        <v>5.5702917771883291E-2</v>
      </c>
      <c r="G5" s="34">
        <v>784</v>
      </c>
      <c r="H5" s="55">
        <f t="shared" ref="H5:H25" si="1">IFERROR(G5/E5,"∞")</f>
        <v>18.666666666666668</v>
      </c>
      <c r="I5" s="18" t="s">
        <v>592</v>
      </c>
    </row>
    <row r="6" spans="1:9" x14ac:dyDescent="0.3">
      <c r="A6" s="29">
        <v>75437621</v>
      </c>
      <c r="B6" s="16" t="s">
        <v>471</v>
      </c>
      <c r="C6" s="43" t="s">
        <v>470</v>
      </c>
      <c r="D6" s="34">
        <v>2675</v>
      </c>
      <c r="E6" s="34">
        <v>76</v>
      </c>
      <c r="F6" s="36">
        <f t="shared" si="0"/>
        <v>2.8411214953271029E-2</v>
      </c>
      <c r="G6" s="34">
        <v>2617</v>
      </c>
      <c r="H6" s="55">
        <f t="shared" si="1"/>
        <v>34.434210526315788</v>
      </c>
      <c r="I6" s="56" t="s">
        <v>593</v>
      </c>
    </row>
    <row r="7" spans="1:9" x14ac:dyDescent="0.3">
      <c r="A7" s="29">
        <v>75437610</v>
      </c>
      <c r="B7" s="16" t="s">
        <v>472</v>
      </c>
      <c r="C7" s="43" t="s">
        <v>470</v>
      </c>
      <c r="D7" s="34">
        <v>721</v>
      </c>
      <c r="E7" s="34">
        <v>26</v>
      </c>
      <c r="F7" s="36">
        <f t="shared" si="0"/>
        <v>3.6061026352288486E-2</v>
      </c>
      <c r="G7" s="34">
        <v>708</v>
      </c>
      <c r="H7" s="55">
        <f t="shared" si="1"/>
        <v>27.23076923076923</v>
      </c>
      <c r="I7" s="18" t="s">
        <v>592</v>
      </c>
    </row>
    <row r="8" spans="1:9" x14ac:dyDescent="0.3">
      <c r="A8" s="29">
        <v>75437616</v>
      </c>
      <c r="B8" s="16" t="s">
        <v>473</v>
      </c>
      <c r="C8" s="43" t="s">
        <v>470</v>
      </c>
      <c r="D8" s="34">
        <v>1186</v>
      </c>
      <c r="E8" s="34">
        <v>45</v>
      </c>
      <c r="F8" s="36">
        <f t="shared" si="0"/>
        <v>3.7942664418212479E-2</v>
      </c>
      <c r="G8" s="34">
        <v>1174</v>
      </c>
      <c r="H8" s="55">
        <f t="shared" si="1"/>
        <v>26.088888888888889</v>
      </c>
      <c r="I8" s="18" t="s">
        <v>592</v>
      </c>
    </row>
    <row r="9" spans="1:9" x14ac:dyDescent="0.3">
      <c r="A9" s="29">
        <v>75437623</v>
      </c>
      <c r="B9" s="16" t="s">
        <v>474</v>
      </c>
      <c r="C9" s="43" t="s">
        <v>470</v>
      </c>
      <c r="D9" s="34">
        <v>703</v>
      </c>
      <c r="E9" s="34">
        <v>23</v>
      </c>
      <c r="F9" s="36">
        <f t="shared" si="0"/>
        <v>3.2716927453769556E-2</v>
      </c>
      <c r="G9" s="34">
        <v>631</v>
      </c>
      <c r="H9" s="55">
        <f t="shared" si="1"/>
        <v>27.434782608695652</v>
      </c>
      <c r="I9" s="18" t="s">
        <v>592</v>
      </c>
    </row>
    <row r="10" spans="1:9" x14ac:dyDescent="0.3">
      <c r="A10" s="29">
        <v>75437614</v>
      </c>
      <c r="B10" s="16" t="s">
        <v>475</v>
      </c>
      <c r="C10" s="43" t="s">
        <v>470</v>
      </c>
      <c r="D10" s="34">
        <v>872</v>
      </c>
      <c r="E10" s="34">
        <v>32</v>
      </c>
      <c r="F10" s="36">
        <f t="shared" si="0"/>
        <v>3.669724770642202E-2</v>
      </c>
      <c r="G10" s="34">
        <v>823</v>
      </c>
      <c r="H10" s="55">
        <f t="shared" si="1"/>
        <v>25.71875</v>
      </c>
      <c r="I10" s="18" t="s">
        <v>592</v>
      </c>
    </row>
    <row r="11" spans="1:9" x14ac:dyDescent="0.3">
      <c r="A11" s="29">
        <v>75437615</v>
      </c>
      <c r="B11" s="16" t="s">
        <v>476</v>
      </c>
      <c r="C11" s="44" t="s">
        <v>477</v>
      </c>
      <c r="D11" s="34">
        <v>328</v>
      </c>
      <c r="E11" s="34">
        <v>35</v>
      </c>
      <c r="F11" s="36">
        <f t="shared" si="0"/>
        <v>0.10670731707317073</v>
      </c>
      <c r="G11" s="34">
        <v>275</v>
      </c>
      <c r="H11" s="55">
        <f t="shared" si="1"/>
        <v>7.8571428571428568</v>
      </c>
      <c r="I11" s="17" t="s">
        <v>594</v>
      </c>
    </row>
    <row r="12" spans="1:9" x14ac:dyDescent="0.3">
      <c r="A12" s="29">
        <v>75437613</v>
      </c>
      <c r="B12" s="16" t="s">
        <v>478</v>
      </c>
      <c r="C12" s="44" t="s">
        <v>477</v>
      </c>
      <c r="D12" s="34">
        <v>379</v>
      </c>
      <c r="E12" s="34">
        <v>7</v>
      </c>
      <c r="F12" s="36">
        <f t="shared" si="0"/>
        <v>1.8469656992084433E-2</v>
      </c>
      <c r="G12" s="34">
        <v>353</v>
      </c>
      <c r="H12" s="55">
        <f t="shared" si="1"/>
        <v>50.428571428571431</v>
      </c>
      <c r="I12" s="56" t="s">
        <v>593</v>
      </c>
    </row>
    <row r="13" spans="1:9" x14ac:dyDescent="0.3">
      <c r="A13" s="29">
        <v>75214932</v>
      </c>
      <c r="B13" s="16" t="s">
        <v>479</v>
      </c>
      <c r="C13" s="48" t="s">
        <v>480</v>
      </c>
      <c r="D13" s="34">
        <v>339</v>
      </c>
      <c r="E13" s="34">
        <v>8</v>
      </c>
      <c r="F13" s="36">
        <f t="shared" si="0"/>
        <v>2.359882005899705E-2</v>
      </c>
      <c r="G13" s="34">
        <v>286</v>
      </c>
      <c r="H13" s="55">
        <f t="shared" si="1"/>
        <v>35.75</v>
      </c>
      <c r="I13" s="56" t="s">
        <v>593</v>
      </c>
    </row>
    <row r="14" spans="1:9" x14ac:dyDescent="0.3">
      <c r="A14" s="29">
        <v>75437612</v>
      </c>
      <c r="B14" s="16" t="s">
        <v>481</v>
      </c>
      <c r="C14" s="44" t="s">
        <v>477</v>
      </c>
      <c r="D14" s="34">
        <v>491</v>
      </c>
      <c r="E14" s="34">
        <v>5</v>
      </c>
      <c r="F14" s="36">
        <f t="shared" si="0"/>
        <v>1.0183299389002037E-2</v>
      </c>
      <c r="G14" s="34">
        <v>508</v>
      </c>
      <c r="H14" s="55">
        <f t="shared" si="1"/>
        <v>101.6</v>
      </c>
      <c r="I14" s="56" t="s">
        <v>593</v>
      </c>
    </row>
    <row r="15" spans="1:9" x14ac:dyDescent="0.3">
      <c r="A15" s="29">
        <v>75253329</v>
      </c>
      <c r="B15" s="16" t="s">
        <v>482</v>
      </c>
      <c r="C15" s="48" t="s">
        <v>480</v>
      </c>
      <c r="D15" s="34">
        <v>300</v>
      </c>
      <c r="E15" s="34">
        <v>9</v>
      </c>
      <c r="F15" s="36">
        <f t="shared" si="0"/>
        <v>0.03</v>
      </c>
      <c r="G15" s="34">
        <v>287</v>
      </c>
      <c r="H15" s="55">
        <f t="shared" si="1"/>
        <v>31.888888888888889</v>
      </c>
      <c r="I15" s="18" t="s">
        <v>592</v>
      </c>
    </row>
    <row r="16" spans="1:9" x14ac:dyDescent="0.3">
      <c r="A16" s="29">
        <v>75253328</v>
      </c>
      <c r="B16" s="16" t="s">
        <v>483</v>
      </c>
      <c r="C16" s="48" t="s">
        <v>480</v>
      </c>
      <c r="D16" s="34">
        <v>514</v>
      </c>
      <c r="E16" s="34">
        <v>4</v>
      </c>
      <c r="F16" s="36">
        <f t="shared" si="0"/>
        <v>7.7821011673151752E-3</v>
      </c>
      <c r="G16" s="34">
        <v>504</v>
      </c>
      <c r="H16" s="55">
        <f t="shared" si="1"/>
        <v>126</v>
      </c>
      <c r="I16" s="56" t="s">
        <v>593</v>
      </c>
    </row>
    <row r="17" spans="1:9" x14ac:dyDescent="0.3">
      <c r="A17" s="29">
        <v>75437618</v>
      </c>
      <c r="B17" s="16" t="s">
        <v>484</v>
      </c>
      <c r="C17" s="44" t="s">
        <v>477</v>
      </c>
      <c r="D17" s="34">
        <v>76</v>
      </c>
      <c r="E17" s="34">
        <v>3</v>
      </c>
      <c r="F17" s="36">
        <f t="shared" si="0"/>
        <v>3.9473684210526314E-2</v>
      </c>
      <c r="G17" s="34">
        <v>93</v>
      </c>
      <c r="H17" s="55">
        <f t="shared" si="1"/>
        <v>31</v>
      </c>
      <c r="I17" s="18" t="s">
        <v>592</v>
      </c>
    </row>
    <row r="18" spans="1:9" x14ac:dyDescent="0.3">
      <c r="A18" s="29">
        <v>75437619</v>
      </c>
      <c r="B18" s="16" t="s">
        <v>485</v>
      </c>
      <c r="C18" s="44" t="s">
        <v>477</v>
      </c>
      <c r="D18" s="34">
        <v>49</v>
      </c>
      <c r="E18" s="34">
        <v>2</v>
      </c>
      <c r="F18" s="36">
        <f t="shared" si="0"/>
        <v>4.0816326530612242E-2</v>
      </c>
      <c r="G18" s="34">
        <v>68</v>
      </c>
      <c r="H18" s="55">
        <f t="shared" si="1"/>
        <v>34</v>
      </c>
      <c r="I18" s="18" t="s">
        <v>592</v>
      </c>
    </row>
    <row r="19" spans="1:9" x14ac:dyDescent="0.3">
      <c r="A19" s="29">
        <v>75437620</v>
      </c>
      <c r="B19" s="16" t="s">
        <v>486</v>
      </c>
      <c r="C19" s="44" t="s">
        <v>477</v>
      </c>
      <c r="D19" s="34">
        <v>92</v>
      </c>
      <c r="E19" s="34">
        <v>1</v>
      </c>
      <c r="F19" s="36">
        <f t="shared" si="0"/>
        <v>1.0869565217391304E-2</v>
      </c>
      <c r="G19" s="34">
        <v>91</v>
      </c>
      <c r="H19" s="55">
        <f t="shared" si="1"/>
        <v>91</v>
      </c>
      <c r="I19" s="56" t="s">
        <v>593</v>
      </c>
    </row>
    <row r="20" spans="1:9" x14ac:dyDescent="0.3">
      <c r="A20" s="29">
        <v>75437617</v>
      </c>
      <c r="B20" s="16" t="s">
        <v>487</v>
      </c>
      <c r="C20" s="44" t="s">
        <v>477</v>
      </c>
      <c r="D20" s="34">
        <v>120</v>
      </c>
      <c r="E20" s="34">
        <v>1</v>
      </c>
      <c r="F20" s="36">
        <f t="shared" si="0"/>
        <v>8.3333333333333332E-3</v>
      </c>
      <c r="G20" s="34">
        <v>139</v>
      </c>
      <c r="H20" s="55">
        <f t="shared" si="1"/>
        <v>139</v>
      </c>
      <c r="I20" s="56" t="s">
        <v>593</v>
      </c>
    </row>
    <row r="21" spans="1:9" x14ac:dyDescent="0.3">
      <c r="A21" s="29">
        <v>75244435</v>
      </c>
      <c r="B21" s="16" t="s">
        <v>488</v>
      </c>
      <c r="C21" s="48" t="s">
        <v>480</v>
      </c>
      <c r="D21" s="34">
        <v>39</v>
      </c>
      <c r="E21" s="34">
        <v>2</v>
      </c>
      <c r="F21" s="36">
        <f t="shared" si="0"/>
        <v>5.128205128205128E-2</v>
      </c>
      <c r="G21" s="34">
        <v>39</v>
      </c>
      <c r="H21" s="55">
        <f t="shared" si="1"/>
        <v>19.5</v>
      </c>
      <c r="I21" s="18" t="s">
        <v>592</v>
      </c>
    </row>
    <row r="22" spans="1:9" x14ac:dyDescent="0.3">
      <c r="A22" s="29">
        <v>75244431</v>
      </c>
      <c r="B22" s="16" t="s">
        <v>489</v>
      </c>
      <c r="C22" s="48" t="s">
        <v>480</v>
      </c>
      <c r="D22" s="34">
        <v>54</v>
      </c>
      <c r="E22" s="34">
        <v>12</v>
      </c>
      <c r="F22" s="36">
        <f t="shared" si="0"/>
        <v>0.22222222222222221</v>
      </c>
      <c r="G22" s="34">
        <v>42</v>
      </c>
      <c r="H22" s="55">
        <f t="shared" si="1"/>
        <v>3.5</v>
      </c>
      <c r="I22" s="17" t="s">
        <v>594</v>
      </c>
    </row>
    <row r="23" spans="1:9" x14ac:dyDescent="0.3">
      <c r="A23" s="29">
        <v>75214931</v>
      </c>
      <c r="B23" s="16" t="s">
        <v>472</v>
      </c>
      <c r="C23" s="48" t="s">
        <v>480</v>
      </c>
      <c r="D23" s="34">
        <v>0</v>
      </c>
      <c r="E23" s="34">
        <v>0</v>
      </c>
      <c r="F23" s="36">
        <f t="shared" si="0"/>
        <v>0</v>
      </c>
      <c r="G23" s="34">
        <v>0</v>
      </c>
      <c r="H23" s="55" t="str">
        <f t="shared" si="1"/>
        <v>∞</v>
      </c>
      <c r="I23" s="56" t="s">
        <v>593</v>
      </c>
    </row>
    <row r="24" spans="1:9" x14ac:dyDescent="0.3">
      <c r="A24" s="29">
        <v>75244433</v>
      </c>
      <c r="B24" s="16" t="s">
        <v>491</v>
      </c>
      <c r="C24" s="48" t="s">
        <v>480</v>
      </c>
      <c r="D24" s="34">
        <v>4</v>
      </c>
      <c r="E24" s="34">
        <v>0</v>
      </c>
      <c r="F24" s="36">
        <f t="shared" si="0"/>
        <v>0</v>
      </c>
      <c r="G24" s="34">
        <v>10</v>
      </c>
      <c r="H24" s="55" t="str">
        <f t="shared" si="1"/>
        <v>∞</v>
      </c>
      <c r="I24" s="56" t="s">
        <v>593</v>
      </c>
    </row>
    <row r="25" spans="1:9" x14ac:dyDescent="0.3">
      <c r="A25" s="29">
        <v>75244436</v>
      </c>
      <c r="B25" s="16" t="s">
        <v>490</v>
      </c>
      <c r="C25" s="48" t="s">
        <v>480</v>
      </c>
      <c r="D25" s="34">
        <v>2</v>
      </c>
      <c r="E25" s="34">
        <v>0</v>
      </c>
      <c r="F25" s="36">
        <f t="shared" si="0"/>
        <v>0</v>
      </c>
      <c r="G25" s="34">
        <v>2</v>
      </c>
      <c r="H25" s="55" t="str">
        <f t="shared" si="1"/>
        <v>∞</v>
      </c>
      <c r="I25" s="56" t="s">
        <v>593</v>
      </c>
    </row>
    <row r="26" spans="1:9" x14ac:dyDescent="0.3">
      <c r="B26" s="131"/>
    </row>
    <row r="27" spans="1:9" x14ac:dyDescent="0.3">
      <c r="A27" s="128" t="s">
        <v>595</v>
      </c>
      <c r="B27" s="128"/>
      <c r="C27" s="128"/>
      <c r="D27" s="128"/>
      <c r="E27" s="128"/>
      <c r="F27" s="128"/>
      <c r="G27" s="128"/>
      <c r="H27" s="128"/>
      <c r="I27" s="128"/>
    </row>
    <row r="28" spans="1:9" x14ac:dyDescent="0.3">
      <c r="A28" s="128" t="s">
        <v>596</v>
      </c>
      <c r="B28" s="128"/>
      <c r="C28" s="128"/>
      <c r="D28" s="128"/>
      <c r="E28" s="128"/>
      <c r="F28" s="128"/>
      <c r="G28" s="128"/>
      <c r="H28" s="128"/>
      <c r="I28" s="128"/>
    </row>
    <row r="29" spans="1:9" x14ac:dyDescent="0.3">
      <c r="A29" s="128" t="s">
        <v>597</v>
      </c>
      <c r="B29" s="128"/>
      <c r="C29" s="128"/>
      <c r="D29" s="128"/>
      <c r="E29" s="128"/>
      <c r="F29" s="128"/>
      <c r="G29" s="128"/>
      <c r="H29" s="128"/>
      <c r="I29" s="128"/>
    </row>
  </sheetData>
  <mergeCells count="3">
    <mergeCell ref="A27:I27"/>
    <mergeCell ref="A28:I28"/>
    <mergeCell ref="A29:I29"/>
  </mergeCells>
  <hyperlinks>
    <hyperlink ref="A1" location="'0. HUB'!A1" display="◀ HUB" xr:uid="{00000000-0004-0000-0800-000000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E25"/>
  <sheetViews>
    <sheetView showGridLines="0" topLeftCell="A10" zoomScaleNormal="100" workbookViewId="0"/>
  </sheetViews>
  <sheetFormatPr baseColWidth="10" defaultColWidth="8.6640625" defaultRowHeight="14.4" x14ac:dyDescent="0.3"/>
  <cols>
    <col min="1" max="2" width="40.77734375" customWidth="1"/>
    <col min="3" max="3" width="16.5546875" bestFit="1" customWidth="1"/>
    <col min="4" max="5" width="40.77734375" customWidth="1"/>
  </cols>
  <sheetData>
    <row r="1" spans="1:5" ht="63" x14ac:dyDescent="0.4">
      <c r="A1" s="137" t="s">
        <v>72</v>
      </c>
      <c r="B1" s="139" t="s">
        <v>598</v>
      </c>
      <c r="D1" s="131"/>
      <c r="E1" s="131"/>
    </row>
    <row r="2" spans="1:5" ht="40.200000000000003" x14ac:dyDescent="0.3">
      <c r="A2" s="131"/>
      <c r="B2" s="47" t="s">
        <v>599</v>
      </c>
      <c r="D2" s="131"/>
      <c r="E2" s="131"/>
    </row>
    <row r="3" spans="1:5" x14ac:dyDescent="0.3">
      <c r="A3" s="131"/>
      <c r="B3" s="131"/>
      <c r="D3" s="131"/>
      <c r="E3" s="131"/>
    </row>
    <row r="4" spans="1:5" x14ac:dyDescent="0.3">
      <c r="A4" s="68" t="s">
        <v>600</v>
      </c>
      <c r="B4" s="131"/>
      <c r="D4" s="131"/>
      <c r="E4" s="131"/>
    </row>
    <row r="5" spans="1:5" x14ac:dyDescent="0.3">
      <c r="A5" s="10" t="s">
        <v>601</v>
      </c>
      <c r="B5" s="10" t="s">
        <v>602</v>
      </c>
      <c r="C5" s="10" t="s">
        <v>603</v>
      </c>
      <c r="D5" s="10" t="s">
        <v>604</v>
      </c>
      <c r="E5" s="10" t="s">
        <v>605</v>
      </c>
    </row>
    <row r="6" spans="1:5" ht="27" x14ac:dyDescent="0.3">
      <c r="A6" s="57" t="s">
        <v>606</v>
      </c>
      <c r="B6" s="57" t="s">
        <v>607</v>
      </c>
      <c r="C6" s="57" t="s">
        <v>360</v>
      </c>
      <c r="D6" s="57" t="s">
        <v>608</v>
      </c>
      <c r="E6" s="57" t="s">
        <v>609</v>
      </c>
    </row>
    <row r="7" spans="1:5" x14ac:dyDescent="0.3">
      <c r="A7" s="57" t="s">
        <v>610</v>
      </c>
      <c r="B7" s="57" t="s">
        <v>611</v>
      </c>
      <c r="C7" s="57" t="s">
        <v>360</v>
      </c>
      <c r="D7" s="57" t="s">
        <v>612</v>
      </c>
      <c r="E7" s="57" t="s">
        <v>613</v>
      </c>
    </row>
    <row r="8" spans="1:5" x14ac:dyDescent="0.3">
      <c r="A8" s="131"/>
      <c r="B8" s="131"/>
      <c r="D8" s="131"/>
      <c r="E8" s="131"/>
    </row>
    <row r="9" spans="1:5" ht="27" x14ac:dyDescent="0.3">
      <c r="A9" s="68" t="s">
        <v>614</v>
      </c>
      <c r="B9" s="131"/>
      <c r="D9" s="131"/>
      <c r="E9" s="131"/>
    </row>
    <row r="10" spans="1:5" ht="26.4" x14ac:dyDescent="0.3">
      <c r="A10" s="10" t="s">
        <v>112</v>
      </c>
      <c r="B10" s="10" t="s">
        <v>615</v>
      </c>
      <c r="C10" s="10" t="s">
        <v>616</v>
      </c>
      <c r="D10" s="10" t="s">
        <v>617</v>
      </c>
      <c r="E10" s="10" t="s">
        <v>618</v>
      </c>
    </row>
    <row r="11" spans="1:5" ht="27" x14ac:dyDescent="0.3">
      <c r="A11" s="16" t="s">
        <v>619</v>
      </c>
      <c r="B11" s="61">
        <v>148</v>
      </c>
      <c r="C11" s="34">
        <v>360</v>
      </c>
      <c r="D11" s="61">
        <f>B11+C11</f>
        <v>508</v>
      </c>
      <c r="E11" s="58" t="s">
        <v>620</v>
      </c>
    </row>
    <row r="12" spans="1:5" ht="40.200000000000003" x14ac:dyDescent="0.3">
      <c r="A12" s="103" t="s">
        <v>621</v>
      </c>
      <c r="B12" s="149">
        <v>0</v>
      </c>
      <c r="C12" s="59">
        <v>0</v>
      </c>
      <c r="D12" s="149">
        <f>B12+C12</f>
        <v>0</v>
      </c>
      <c r="E12" s="60" t="s">
        <v>622</v>
      </c>
    </row>
    <row r="13" spans="1:5" x14ac:dyDescent="0.3">
      <c r="A13" s="131"/>
      <c r="B13" s="131"/>
      <c r="D13" s="131"/>
      <c r="E13" s="131"/>
    </row>
    <row r="14" spans="1:5" ht="27" x14ac:dyDescent="0.3">
      <c r="A14" s="68" t="s">
        <v>623</v>
      </c>
      <c r="B14" s="131"/>
      <c r="D14" s="131"/>
      <c r="E14" s="131"/>
    </row>
    <row r="15" spans="1:5" x14ac:dyDescent="0.3">
      <c r="A15" s="10" t="s">
        <v>352</v>
      </c>
      <c r="B15" s="10" t="s">
        <v>624</v>
      </c>
      <c r="C15" s="10" t="s">
        <v>465</v>
      </c>
      <c r="D15" s="10" t="s">
        <v>625</v>
      </c>
      <c r="E15" s="131"/>
    </row>
    <row r="16" spans="1:5" x14ac:dyDescent="0.3">
      <c r="A16" s="16" t="s">
        <v>154</v>
      </c>
      <c r="B16" s="16" t="s">
        <v>626</v>
      </c>
      <c r="C16" s="29" t="s">
        <v>627</v>
      </c>
      <c r="D16" s="61">
        <v>20</v>
      </c>
      <c r="E16" s="131"/>
    </row>
    <row r="17" spans="1:5" x14ac:dyDescent="0.3">
      <c r="A17" s="131"/>
      <c r="B17" s="131"/>
      <c r="D17" s="131"/>
      <c r="E17" s="131"/>
    </row>
    <row r="18" spans="1:5" ht="27" x14ac:dyDescent="0.3">
      <c r="A18" s="68" t="s">
        <v>628</v>
      </c>
      <c r="B18" s="131"/>
      <c r="D18" s="131"/>
      <c r="E18" s="131"/>
    </row>
    <row r="19" spans="1:5" x14ac:dyDescent="0.3">
      <c r="A19" s="10" t="s">
        <v>629</v>
      </c>
      <c r="B19" s="10" t="s">
        <v>625</v>
      </c>
      <c r="C19" s="10" t="s">
        <v>630</v>
      </c>
      <c r="D19" s="10" t="s">
        <v>144</v>
      </c>
      <c r="E19" s="131"/>
    </row>
    <row r="20" spans="1:5" x14ac:dyDescent="0.3">
      <c r="A20" s="16" t="s">
        <v>631</v>
      </c>
      <c r="B20" s="61">
        <v>1000</v>
      </c>
      <c r="C20" s="16" t="s">
        <v>632</v>
      </c>
      <c r="D20" s="58" t="s">
        <v>633</v>
      </c>
      <c r="E20" s="131"/>
    </row>
    <row r="21" spans="1:5" ht="27" x14ac:dyDescent="0.3">
      <c r="A21" s="62" t="s">
        <v>634</v>
      </c>
      <c r="B21" s="63">
        <v>0</v>
      </c>
      <c r="C21" s="62" t="s">
        <v>129</v>
      </c>
      <c r="D21" s="64" t="s">
        <v>635</v>
      </c>
      <c r="E21" s="131"/>
    </row>
    <row r="22" spans="1:5" x14ac:dyDescent="0.3">
      <c r="A22" s="16" t="s">
        <v>636</v>
      </c>
      <c r="B22" s="61">
        <v>3686</v>
      </c>
      <c r="C22" s="16" t="s">
        <v>637</v>
      </c>
      <c r="D22" s="58" t="s">
        <v>638</v>
      </c>
      <c r="E22" s="131"/>
    </row>
    <row r="23" spans="1:5" ht="27" x14ac:dyDescent="0.3">
      <c r="A23" s="16" t="s">
        <v>639</v>
      </c>
      <c r="B23" s="61">
        <v>2438</v>
      </c>
      <c r="C23" s="16" t="s">
        <v>640</v>
      </c>
      <c r="D23" s="58" t="s">
        <v>641</v>
      </c>
      <c r="E23" s="131"/>
    </row>
    <row r="24" spans="1:5" x14ac:dyDescent="0.3">
      <c r="A24" s="131"/>
      <c r="B24" s="131"/>
      <c r="D24" s="131"/>
      <c r="E24" s="131"/>
    </row>
    <row r="25" spans="1:5" x14ac:dyDescent="0.3">
      <c r="A25" s="128" t="s">
        <v>642</v>
      </c>
      <c r="B25" s="128"/>
      <c r="C25" s="128"/>
      <c r="D25" s="128"/>
      <c r="E25" s="128"/>
    </row>
  </sheetData>
  <mergeCells count="1">
    <mergeCell ref="A25:E25"/>
  </mergeCells>
  <hyperlinks>
    <hyperlink ref="A1" location="'0. HUB'!A1" display="◀ HUB" xr:uid="{00000000-0004-0000-0900-000000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J61"/>
  <sheetViews>
    <sheetView showGridLines="0" topLeftCell="B5" zoomScaleNormal="100" workbookViewId="0"/>
  </sheetViews>
  <sheetFormatPr baseColWidth="10" defaultColWidth="8.6640625" defaultRowHeight="14.4" x14ac:dyDescent="0.3"/>
  <cols>
    <col min="1" max="1" width="7.33203125" bestFit="1" customWidth="1"/>
    <col min="2" max="2" width="40.77734375" customWidth="1"/>
    <col min="3" max="3" width="33.6640625" bestFit="1" customWidth="1"/>
    <col min="4" max="4" width="22.109375" bestFit="1" customWidth="1"/>
    <col min="5" max="5" width="12.88671875" bestFit="1" customWidth="1"/>
    <col min="6" max="6" width="19.33203125" bestFit="1" customWidth="1"/>
    <col min="7" max="7" width="18.6640625" bestFit="1" customWidth="1"/>
    <col min="8" max="8" width="20.88671875" bestFit="1" customWidth="1"/>
    <col min="9" max="9" width="8.6640625" bestFit="1" customWidth="1"/>
    <col min="10" max="10" width="11.5546875" bestFit="1" customWidth="1"/>
  </cols>
  <sheetData>
    <row r="1" spans="1:10" x14ac:dyDescent="0.3">
      <c r="A1" s="4" t="s">
        <v>72</v>
      </c>
      <c r="B1" s="131"/>
    </row>
    <row r="2" spans="1:10" ht="38.4" x14ac:dyDescent="0.35">
      <c r="B2" s="132" t="s">
        <v>643</v>
      </c>
    </row>
    <row r="3" spans="1:10" ht="35.4" x14ac:dyDescent="0.3">
      <c r="B3" s="133" t="s">
        <v>644</v>
      </c>
    </row>
    <row r="4" spans="1:10" x14ac:dyDescent="0.3">
      <c r="B4" s="131"/>
    </row>
    <row r="5" spans="1:10" ht="43.8" x14ac:dyDescent="0.3">
      <c r="B5" s="136" t="s">
        <v>645</v>
      </c>
    </row>
    <row r="6" spans="1:10" x14ac:dyDescent="0.3">
      <c r="B6" s="5" t="s">
        <v>646</v>
      </c>
      <c r="C6" s="5" t="s">
        <v>647</v>
      </c>
      <c r="D6" s="5" t="s">
        <v>648</v>
      </c>
      <c r="E6" s="5" t="s">
        <v>467</v>
      </c>
      <c r="F6" s="5" t="s">
        <v>649</v>
      </c>
      <c r="G6" s="5" t="s">
        <v>650</v>
      </c>
      <c r="H6" s="5" t="s">
        <v>651</v>
      </c>
      <c r="I6" s="5" t="s">
        <v>270</v>
      </c>
      <c r="J6" s="5" t="s">
        <v>618</v>
      </c>
    </row>
    <row r="7" spans="1:10" ht="88.2" x14ac:dyDescent="0.3">
      <c r="B7" s="6" t="s">
        <v>652</v>
      </c>
      <c r="C7" s="6" t="s">
        <v>653</v>
      </c>
      <c r="D7" s="6" t="s">
        <v>654</v>
      </c>
      <c r="E7" s="6" t="s">
        <v>470</v>
      </c>
      <c r="F7" s="6">
        <v>1510</v>
      </c>
      <c r="G7" s="6">
        <v>42</v>
      </c>
      <c r="H7" s="6">
        <v>36</v>
      </c>
      <c r="I7" s="6" t="s">
        <v>334</v>
      </c>
      <c r="J7" s="6" t="s">
        <v>655</v>
      </c>
    </row>
    <row r="8" spans="1:10" ht="25.2" x14ac:dyDescent="0.3">
      <c r="B8" s="7" t="s">
        <v>656</v>
      </c>
      <c r="C8" s="7" t="s">
        <v>657</v>
      </c>
      <c r="D8" s="7" t="s">
        <v>658</v>
      </c>
      <c r="E8" s="7" t="s">
        <v>470</v>
      </c>
      <c r="F8" s="7">
        <v>1000</v>
      </c>
      <c r="G8" s="7">
        <v>26</v>
      </c>
      <c r="H8" s="7">
        <v>38.5</v>
      </c>
      <c r="I8" s="7" t="s">
        <v>334</v>
      </c>
      <c r="J8" s="7"/>
    </row>
    <row r="9" spans="1:10" ht="75.599999999999994" x14ac:dyDescent="0.3">
      <c r="B9" s="6" t="s">
        <v>659</v>
      </c>
      <c r="C9" s="6" t="s">
        <v>660</v>
      </c>
      <c r="D9" s="6" t="s">
        <v>661</v>
      </c>
      <c r="E9" s="6" t="s">
        <v>470</v>
      </c>
      <c r="F9" s="6">
        <v>9</v>
      </c>
      <c r="G9" s="6">
        <v>32</v>
      </c>
      <c r="H9" s="6">
        <v>0.3</v>
      </c>
      <c r="I9" s="6" t="s">
        <v>275</v>
      </c>
      <c r="J9" s="6" t="s">
        <v>662</v>
      </c>
    </row>
    <row r="10" spans="1:10" ht="25.2" x14ac:dyDescent="0.3">
      <c r="B10" s="7" t="s">
        <v>663</v>
      </c>
      <c r="C10" s="7" t="s">
        <v>664</v>
      </c>
      <c r="D10" s="7" t="s">
        <v>665</v>
      </c>
      <c r="E10" s="7" t="s">
        <v>470</v>
      </c>
      <c r="F10" s="7">
        <v>2912</v>
      </c>
      <c r="G10" s="7">
        <v>45</v>
      </c>
      <c r="H10" s="7">
        <v>64.7</v>
      </c>
      <c r="I10" s="7" t="s">
        <v>334</v>
      </c>
      <c r="J10" s="7"/>
    </row>
    <row r="11" spans="1:10" ht="100.8" x14ac:dyDescent="0.3">
      <c r="B11" s="6" t="s">
        <v>666</v>
      </c>
      <c r="C11" s="6" t="s">
        <v>667</v>
      </c>
      <c r="D11" s="6" t="s">
        <v>668</v>
      </c>
      <c r="E11" s="6" t="s">
        <v>470</v>
      </c>
      <c r="F11" s="6">
        <v>64</v>
      </c>
      <c r="G11" s="6">
        <v>76</v>
      </c>
      <c r="H11" s="6">
        <v>0.8</v>
      </c>
      <c r="I11" s="6" t="s">
        <v>275</v>
      </c>
      <c r="J11" s="6" t="s">
        <v>669</v>
      </c>
    </row>
    <row r="12" spans="1:10" ht="25.2" x14ac:dyDescent="0.3">
      <c r="B12" s="7" t="s">
        <v>670</v>
      </c>
      <c r="C12" s="7" t="s">
        <v>671</v>
      </c>
      <c r="D12" s="7" t="s">
        <v>672</v>
      </c>
      <c r="E12" s="7" t="s">
        <v>470</v>
      </c>
      <c r="F12" s="7">
        <v>5901</v>
      </c>
      <c r="G12" s="7">
        <v>23</v>
      </c>
      <c r="H12" s="7">
        <v>256.60000000000002</v>
      </c>
      <c r="I12" s="7" t="s">
        <v>334</v>
      </c>
      <c r="J12" s="7"/>
    </row>
    <row r="13" spans="1:10" ht="25.2" x14ac:dyDescent="0.3">
      <c r="B13" s="6" t="s">
        <v>673</v>
      </c>
      <c r="C13" s="6" t="s">
        <v>674</v>
      </c>
      <c r="D13" s="6" t="s">
        <v>675</v>
      </c>
      <c r="E13" s="6" t="s">
        <v>477</v>
      </c>
      <c r="F13" s="6">
        <v>1032</v>
      </c>
      <c r="G13" s="6">
        <v>5</v>
      </c>
      <c r="H13" s="6">
        <v>206.4</v>
      </c>
      <c r="I13" s="6" t="s">
        <v>334</v>
      </c>
      <c r="J13" s="6"/>
    </row>
    <row r="14" spans="1:10" ht="25.2" x14ac:dyDescent="0.3">
      <c r="B14" s="7" t="s">
        <v>676</v>
      </c>
      <c r="C14" s="7" t="s">
        <v>677</v>
      </c>
      <c r="D14" s="7" t="s">
        <v>678</v>
      </c>
      <c r="E14" s="7" t="s">
        <v>477</v>
      </c>
      <c r="F14" s="7">
        <v>930</v>
      </c>
      <c r="G14" s="7">
        <v>7</v>
      </c>
      <c r="H14" s="7">
        <v>132.9</v>
      </c>
      <c r="I14" s="7" t="s">
        <v>334</v>
      </c>
      <c r="J14" s="7"/>
    </row>
    <row r="15" spans="1:10" ht="25.2" x14ac:dyDescent="0.3">
      <c r="B15" s="6" t="s">
        <v>679</v>
      </c>
      <c r="C15" s="6" t="s">
        <v>680</v>
      </c>
      <c r="D15" s="6" t="s">
        <v>681</v>
      </c>
      <c r="E15" s="6" t="s">
        <v>477</v>
      </c>
      <c r="F15" s="6">
        <v>4284</v>
      </c>
      <c r="G15" s="6">
        <v>35</v>
      </c>
      <c r="H15" s="6">
        <v>122.4</v>
      </c>
      <c r="I15" s="6" t="s">
        <v>334</v>
      </c>
      <c r="J15" s="6"/>
    </row>
    <row r="16" spans="1:10" ht="25.2" x14ac:dyDescent="0.3">
      <c r="B16" s="7" t="s">
        <v>682</v>
      </c>
      <c r="C16" s="7" t="s">
        <v>683</v>
      </c>
      <c r="D16" s="7" t="s">
        <v>684</v>
      </c>
      <c r="E16" s="7" t="s">
        <v>477</v>
      </c>
      <c r="F16" s="7">
        <v>1516</v>
      </c>
      <c r="G16" s="7">
        <v>1</v>
      </c>
      <c r="H16" s="7">
        <v>1516</v>
      </c>
      <c r="I16" s="7" t="s">
        <v>334</v>
      </c>
      <c r="J16" s="7"/>
    </row>
    <row r="17" spans="2:10" ht="25.2" x14ac:dyDescent="0.3">
      <c r="B17" s="6" t="s">
        <v>685</v>
      </c>
      <c r="C17" s="6" t="s">
        <v>686</v>
      </c>
      <c r="D17" s="6" t="s">
        <v>687</v>
      </c>
      <c r="E17" s="6" t="s">
        <v>477</v>
      </c>
      <c r="F17" s="6">
        <v>1075</v>
      </c>
      <c r="G17" s="6">
        <v>3</v>
      </c>
      <c r="H17" s="6">
        <v>358.3</v>
      </c>
      <c r="I17" s="6" t="s">
        <v>334</v>
      </c>
      <c r="J17" s="6"/>
    </row>
    <row r="18" spans="2:10" ht="25.2" x14ac:dyDescent="0.3">
      <c r="B18" s="7" t="s">
        <v>688</v>
      </c>
      <c r="C18" s="7" t="s">
        <v>689</v>
      </c>
      <c r="D18" s="7" t="s">
        <v>690</v>
      </c>
      <c r="E18" s="7" t="s">
        <v>477</v>
      </c>
      <c r="F18" s="7">
        <v>851</v>
      </c>
      <c r="G18" s="7">
        <v>2</v>
      </c>
      <c r="H18" s="7">
        <v>425.5</v>
      </c>
      <c r="I18" s="7" t="s">
        <v>334</v>
      </c>
      <c r="J18" s="7"/>
    </row>
    <row r="19" spans="2:10" ht="25.2" x14ac:dyDescent="0.3">
      <c r="B19" s="6" t="s">
        <v>691</v>
      </c>
      <c r="C19" s="6" t="s">
        <v>692</v>
      </c>
      <c r="D19" s="6" t="s">
        <v>693</v>
      </c>
      <c r="E19" s="6" t="s">
        <v>477</v>
      </c>
      <c r="F19" s="6">
        <v>2126</v>
      </c>
      <c r="G19" s="6">
        <v>1</v>
      </c>
      <c r="H19" s="6">
        <v>2126</v>
      </c>
      <c r="I19" s="6" t="s">
        <v>334</v>
      </c>
      <c r="J19" s="6"/>
    </row>
    <row r="20" spans="2:10" x14ac:dyDescent="0.3">
      <c r="B20" s="131"/>
    </row>
    <row r="21" spans="2:10" x14ac:dyDescent="0.3">
      <c r="B21" s="131"/>
    </row>
    <row r="22" spans="2:10" ht="43.8" x14ac:dyDescent="0.3">
      <c r="B22" s="136" t="s">
        <v>694</v>
      </c>
    </row>
    <row r="23" spans="2:10" x14ac:dyDescent="0.3">
      <c r="B23" s="5" t="s">
        <v>695</v>
      </c>
      <c r="C23" s="5" t="s">
        <v>696</v>
      </c>
      <c r="D23" s="5" t="s">
        <v>697</v>
      </c>
      <c r="E23" s="5" t="s">
        <v>698</v>
      </c>
      <c r="F23" s="5" t="s">
        <v>270</v>
      </c>
      <c r="G23" s="5" t="s">
        <v>618</v>
      </c>
    </row>
    <row r="24" spans="2:10" ht="63" x14ac:dyDescent="0.3">
      <c r="B24" s="6" t="s">
        <v>699</v>
      </c>
      <c r="C24" s="6" t="s">
        <v>700</v>
      </c>
      <c r="D24" s="6" t="s">
        <v>701</v>
      </c>
      <c r="E24" s="6" t="s">
        <v>702</v>
      </c>
      <c r="F24" s="6" t="s">
        <v>334</v>
      </c>
      <c r="G24" s="6" t="s">
        <v>703</v>
      </c>
    </row>
    <row r="25" spans="2:10" ht="75.599999999999994" x14ac:dyDescent="0.3">
      <c r="B25" s="65" t="s">
        <v>704</v>
      </c>
      <c r="C25" s="65" t="s">
        <v>705</v>
      </c>
      <c r="D25" s="65" t="s">
        <v>706</v>
      </c>
      <c r="E25" s="65" t="s">
        <v>707</v>
      </c>
      <c r="F25" s="65" t="s">
        <v>708</v>
      </c>
      <c r="G25" s="65" t="s">
        <v>709</v>
      </c>
    </row>
    <row r="26" spans="2:10" ht="25.2" x14ac:dyDescent="0.3">
      <c r="B26" s="6" t="s">
        <v>710</v>
      </c>
      <c r="C26" s="6" t="s">
        <v>671</v>
      </c>
      <c r="D26" s="6" t="s">
        <v>711</v>
      </c>
      <c r="E26" s="6" t="s">
        <v>712</v>
      </c>
      <c r="F26" s="6" t="s">
        <v>334</v>
      </c>
      <c r="G26" s="6" t="s">
        <v>713</v>
      </c>
    </row>
    <row r="27" spans="2:10" ht="37.799999999999997" x14ac:dyDescent="0.3">
      <c r="B27" s="7" t="s">
        <v>714</v>
      </c>
      <c r="C27" s="7" t="s">
        <v>715</v>
      </c>
      <c r="D27" s="7" t="s">
        <v>711</v>
      </c>
      <c r="E27" s="7" t="s">
        <v>716</v>
      </c>
      <c r="F27" s="7" t="s">
        <v>334</v>
      </c>
      <c r="G27" s="7" t="s">
        <v>717</v>
      </c>
    </row>
    <row r="28" spans="2:10" ht="25.2" x14ac:dyDescent="0.3">
      <c r="B28" s="6" t="s">
        <v>718</v>
      </c>
      <c r="C28" s="6" t="s">
        <v>719</v>
      </c>
      <c r="D28" s="6" t="s">
        <v>711</v>
      </c>
      <c r="E28" s="6" t="s">
        <v>720</v>
      </c>
      <c r="F28" s="6" t="s">
        <v>334</v>
      </c>
      <c r="G28" s="6" t="s">
        <v>721</v>
      </c>
    </row>
    <row r="29" spans="2:10" ht="25.2" x14ac:dyDescent="0.3">
      <c r="B29" s="7" t="s">
        <v>722</v>
      </c>
      <c r="C29" s="7" t="s">
        <v>723</v>
      </c>
      <c r="D29" s="7" t="s">
        <v>724</v>
      </c>
      <c r="E29" s="7" t="s">
        <v>725</v>
      </c>
      <c r="F29" s="7" t="s">
        <v>129</v>
      </c>
      <c r="G29" s="7" t="s">
        <v>726</v>
      </c>
    </row>
    <row r="30" spans="2:10" x14ac:dyDescent="0.3">
      <c r="B30" s="131"/>
    </row>
    <row r="31" spans="2:10" x14ac:dyDescent="0.3">
      <c r="B31" s="131"/>
    </row>
    <row r="32" spans="2:10" ht="29.4" x14ac:dyDescent="0.3">
      <c r="B32" s="136" t="s">
        <v>727</v>
      </c>
    </row>
    <row r="33" spans="2:5" x14ac:dyDescent="0.3">
      <c r="B33" s="5" t="s">
        <v>728</v>
      </c>
      <c r="C33" s="5" t="s">
        <v>729</v>
      </c>
      <c r="D33" s="5" t="s">
        <v>730</v>
      </c>
    </row>
    <row r="34" spans="2:5" ht="63" x14ac:dyDescent="0.3">
      <c r="B34" s="6" t="s">
        <v>731</v>
      </c>
      <c r="C34" s="6" t="s">
        <v>732</v>
      </c>
      <c r="D34" s="6" t="s">
        <v>733</v>
      </c>
    </row>
    <row r="35" spans="2:5" ht="37.799999999999997" x14ac:dyDescent="0.3">
      <c r="B35" s="66" t="s">
        <v>734</v>
      </c>
      <c r="C35" s="66" t="s">
        <v>735</v>
      </c>
      <c r="D35" s="66" t="s">
        <v>736</v>
      </c>
    </row>
    <row r="36" spans="2:5" ht="25.2" x14ac:dyDescent="0.3">
      <c r="B36" s="66" t="s">
        <v>737</v>
      </c>
      <c r="C36" s="66" t="s">
        <v>738</v>
      </c>
      <c r="D36" s="66" t="s">
        <v>739</v>
      </c>
    </row>
    <row r="37" spans="2:5" ht="25.2" x14ac:dyDescent="0.3">
      <c r="B37" s="7" t="s">
        <v>740</v>
      </c>
      <c r="C37" s="7" t="s">
        <v>741</v>
      </c>
      <c r="D37" s="7" t="s">
        <v>742</v>
      </c>
    </row>
    <row r="38" spans="2:5" ht="75.599999999999994" x14ac:dyDescent="0.3">
      <c r="B38" s="6" t="s">
        <v>743</v>
      </c>
      <c r="C38" s="6" t="s">
        <v>744</v>
      </c>
      <c r="D38" s="6" t="s">
        <v>745</v>
      </c>
    </row>
    <row r="39" spans="2:5" ht="63" x14ac:dyDescent="0.3">
      <c r="B39" s="7" t="s">
        <v>746</v>
      </c>
      <c r="C39" s="7" t="s">
        <v>747</v>
      </c>
      <c r="D39" s="7" t="s">
        <v>748</v>
      </c>
    </row>
    <row r="40" spans="2:5" ht="50.4" x14ac:dyDescent="0.3">
      <c r="B40" s="66" t="s">
        <v>749</v>
      </c>
      <c r="C40" s="66" t="s">
        <v>750</v>
      </c>
      <c r="D40" s="66" t="s">
        <v>751</v>
      </c>
    </row>
    <row r="41" spans="2:5" x14ac:dyDescent="0.3">
      <c r="B41" s="131"/>
    </row>
    <row r="42" spans="2:5" x14ac:dyDescent="0.3">
      <c r="B42" s="131"/>
    </row>
    <row r="43" spans="2:5" ht="29.4" x14ac:dyDescent="0.3">
      <c r="B43" s="136" t="s">
        <v>752</v>
      </c>
    </row>
    <row r="44" spans="2:5" x14ac:dyDescent="0.3">
      <c r="B44" s="5" t="s">
        <v>753</v>
      </c>
      <c r="C44" s="5" t="s">
        <v>754</v>
      </c>
      <c r="D44" s="5" t="s">
        <v>755</v>
      </c>
      <c r="E44" s="5" t="s">
        <v>698</v>
      </c>
    </row>
    <row r="45" spans="2:5" x14ac:dyDescent="0.3">
      <c r="B45" s="6" t="s">
        <v>756</v>
      </c>
      <c r="C45" s="6" t="s">
        <v>757</v>
      </c>
      <c r="D45" s="6">
        <v>42932</v>
      </c>
      <c r="E45" s="6">
        <v>42920</v>
      </c>
    </row>
    <row r="46" spans="2:5" x14ac:dyDescent="0.3">
      <c r="B46" s="7" t="s">
        <v>758</v>
      </c>
      <c r="C46" s="7" t="s">
        <v>759</v>
      </c>
      <c r="D46" s="7">
        <v>12863</v>
      </c>
      <c r="E46" s="7">
        <v>12863</v>
      </c>
    </row>
    <row r="47" spans="2:5" x14ac:dyDescent="0.3">
      <c r="B47" s="6" t="s">
        <v>671</v>
      </c>
      <c r="C47" s="6" t="s">
        <v>760</v>
      </c>
      <c r="D47" s="6">
        <v>5901</v>
      </c>
      <c r="E47" s="6">
        <v>5901</v>
      </c>
    </row>
    <row r="48" spans="2:5" x14ac:dyDescent="0.3">
      <c r="B48" s="7" t="s">
        <v>761</v>
      </c>
      <c r="C48" s="7" t="s">
        <v>762</v>
      </c>
      <c r="D48" s="7">
        <v>4970</v>
      </c>
      <c r="E48" s="7">
        <v>4502</v>
      </c>
    </row>
    <row r="49" spans="2:5" x14ac:dyDescent="0.3">
      <c r="B49" s="6" t="s">
        <v>680</v>
      </c>
      <c r="C49" s="6" t="s">
        <v>763</v>
      </c>
      <c r="D49" s="6">
        <v>4296</v>
      </c>
      <c r="E49" s="6">
        <v>4284</v>
      </c>
    </row>
    <row r="50" spans="2:5" x14ac:dyDescent="0.3">
      <c r="B50" s="7" t="s">
        <v>764</v>
      </c>
      <c r="C50" s="7" t="s">
        <v>765</v>
      </c>
      <c r="D50" s="7">
        <v>4087</v>
      </c>
      <c r="E50" s="7">
        <v>4087</v>
      </c>
    </row>
    <row r="51" spans="2:5" x14ac:dyDescent="0.3">
      <c r="B51" s="6" t="s">
        <v>766</v>
      </c>
      <c r="C51" s="6" t="s">
        <v>767</v>
      </c>
      <c r="D51" s="6">
        <v>3828</v>
      </c>
      <c r="E51" s="6">
        <v>3828</v>
      </c>
    </row>
    <row r="52" spans="2:5" x14ac:dyDescent="0.3">
      <c r="B52" s="7" t="s">
        <v>700</v>
      </c>
      <c r="C52" s="7" t="s">
        <v>768</v>
      </c>
      <c r="D52" s="7">
        <v>3705</v>
      </c>
      <c r="E52" s="7">
        <v>3705</v>
      </c>
    </row>
    <row r="53" spans="2:5" x14ac:dyDescent="0.3">
      <c r="B53" s="6" t="s">
        <v>769</v>
      </c>
      <c r="C53" s="6" t="s">
        <v>770</v>
      </c>
      <c r="D53" s="6">
        <v>2914</v>
      </c>
      <c r="E53" s="6">
        <v>2914</v>
      </c>
    </row>
    <row r="54" spans="2:5" x14ac:dyDescent="0.3">
      <c r="B54" s="7" t="s">
        <v>664</v>
      </c>
      <c r="C54" s="7" t="s">
        <v>771</v>
      </c>
      <c r="D54" s="7">
        <v>2912</v>
      </c>
      <c r="E54" s="7">
        <v>2912</v>
      </c>
    </row>
    <row r="55" spans="2:5" x14ac:dyDescent="0.3">
      <c r="B55" s="6" t="s">
        <v>772</v>
      </c>
      <c r="C55" s="6" t="s">
        <v>773</v>
      </c>
      <c r="D55" s="6">
        <v>2682</v>
      </c>
      <c r="E55" s="6">
        <v>2682</v>
      </c>
    </row>
    <row r="56" spans="2:5" x14ac:dyDescent="0.3">
      <c r="B56" s="7" t="s">
        <v>774</v>
      </c>
      <c r="C56" s="7" t="s">
        <v>775</v>
      </c>
      <c r="D56" s="7">
        <v>2448</v>
      </c>
      <c r="E56" s="7">
        <v>2448</v>
      </c>
    </row>
    <row r="57" spans="2:5" x14ac:dyDescent="0.3">
      <c r="B57" s="6" t="s">
        <v>776</v>
      </c>
      <c r="C57" s="6" t="s">
        <v>777</v>
      </c>
      <c r="D57" s="6">
        <v>2400</v>
      </c>
      <c r="E57" s="6">
        <v>2400</v>
      </c>
    </row>
    <row r="58" spans="2:5" x14ac:dyDescent="0.3">
      <c r="B58" s="7" t="s">
        <v>778</v>
      </c>
      <c r="C58" s="7" t="s">
        <v>779</v>
      </c>
      <c r="D58" s="7">
        <v>2396</v>
      </c>
      <c r="E58" s="7">
        <v>2312</v>
      </c>
    </row>
    <row r="59" spans="2:5" x14ac:dyDescent="0.3">
      <c r="B59" s="6" t="s">
        <v>780</v>
      </c>
      <c r="C59" s="6" t="s">
        <v>781</v>
      </c>
      <c r="D59" s="6">
        <v>2308</v>
      </c>
      <c r="E59" s="6">
        <v>2236</v>
      </c>
    </row>
    <row r="60" spans="2:5" x14ac:dyDescent="0.3">
      <c r="B60" s="131"/>
    </row>
    <row r="61" spans="2:5" ht="33.6" x14ac:dyDescent="0.3">
      <c r="B61" s="150" t="s">
        <v>782</v>
      </c>
    </row>
  </sheetData>
  <hyperlinks>
    <hyperlink ref="A1" location="'0. HUB'!A1" display="◀ HUB" xr:uid="{00000000-0004-0000-0A00-000000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J147"/>
  <sheetViews>
    <sheetView showGridLines="0" zoomScaleNormal="100" workbookViewId="0">
      <pane ySplit="1" topLeftCell="A119" activePane="bottomLeft" state="frozen"/>
      <selection pane="bottomLeft" activeCell="D2" sqref="D2"/>
    </sheetView>
  </sheetViews>
  <sheetFormatPr baseColWidth="10" defaultColWidth="8.6640625" defaultRowHeight="14.4" x14ac:dyDescent="0.3"/>
  <cols>
    <col min="1" max="1" width="7.6640625" bestFit="1" customWidth="1"/>
    <col min="2" max="2" width="40.77734375" customWidth="1"/>
    <col min="3" max="3" width="12.44140625" bestFit="1" customWidth="1"/>
    <col min="4" max="4" width="40.77734375" customWidth="1"/>
    <col min="5" max="5" width="17.109375" bestFit="1" customWidth="1"/>
    <col min="6" max="6" width="15.109375" bestFit="1" customWidth="1"/>
    <col min="7" max="7" width="40.77734375" customWidth="1"/>
  </cols>
  <sheetData>
    <row r="1" spans="1:10" ht="84" x14ac:dyDescent="0.4">
      <c r="A1" s="2" t="s">
        <v>72</v>
      </c>
      <c r="B1" s="139" t="s">
        <v>783</v>
      </c>
      <c r="D1" s="131"/>
      <c r="G1" s="131"/>
    </row>
    <row r="2" spans="1:10" ht="53.4" x14ac:dyDescent="0.3">
      <c r="B2" s="47" t="s">
        <v>784</v>
      </c>
      <c r="D2" s="131"/>
      <c r="G2" s="131"/>
    </row>
    <row r="3" spans="1:10" x14ac:dyDescent="0.3">
      <c r="B3" s="131"/>
      <c r="D3" s="131"/>
      <c r="G3" s="131"/>
    </row>
    <row r="4" spans="1:10" x14ac:dyDescent="0.3">
      <c r="B4" s="68" t="s">
        <v>785</v>
      </c>
      <c r="D4" s="131"/>
      <c r="G4" s="131"/>
    </row>
    <row r="5" spans="1:10" x14ac:dyDescent="0.3">
      <c r="B5" s="151" t="s">
        <v>786</v>
      </c>
      <c r="C5" s="67" t="s">
        <v>787</v>
      </c>
      <c r="D5" s="151" t="s">
        <v>788</v>
      </c>
      <c r="E5" s="67" t="s">
        <v>789</v>
      </c>
      <c r="F5" s="67" t="s">
        <v>790</v>
      </c>
      <c r="G5" s="131"/>
    </row>
    <row r="6" spans="1:10" x14ac:dyDescent="0.3">
      <c r="B6" s="148" t="s">
        <v>791</v>
      </c>
      <c r="C6" s="34">
        <v>31</v>
      </c>
      <c r="D6" s="142">
        <v>635057</v>
      </c>
      <c r="E6" s="30">
        <v>20486</v>
      </c>
      <c r="F6" s="33"/>
      <c r="G6" s="131"/>
    </row>
    <row r="7" spans="1:10" x14ac:dyDescent="0.3">
      <c r="B7" s="148" t="s">
        <v>792</v>
      </c>
      <c r="C7" s="34">
        <v>52</v>
      </c>
      <c r="D7" s="142">
        <v>620912</v>
      </c>
      <c r="E7" s="30">
        <v>11941</v>
      </c>
      <c r="F7" s="56" t="s">
        <v>793</v>
      </c>
      <c r="G7" s="131"/>
    </row>
    <row r="8" spans="1:10" x14ac:dyDescent="0.3">
      <c r="B8" s="148" t="s">
        <v>794</v>
      </c>
      <c r="C8" s="34">
        <v>29</v>
      </c>
      <c r="D8" s="142">
        <v>306522</v>
      </c>
      <c r="E8" s="30">
        <v>10570</v>
      </c>
      <c r="F8" s="56" t="s">
        <v>795</v>
      </c>
      <c r="G8" s="131"/>
    </row>
    <row r="9" spans="1:10" x14ac:dyDescent="0.3">
      <c r="B9" s="129" t="s">
        <v>796</v>
      </c>
      <c r="C9" s="129"/>
      <c r="D9" s="129"/>
      <c r="E9" s="129"/>
      <c r="F9" s="129"/>
      <c r="G9" s="129"/>
      <c r="H9" s="129"/>
      <c r="I9" s="129"/>
      <c r="J9" s="129"/>
    </row>
    <row r="10" spans="1:10" x14ac:dyDescent="0.3">
      <c r="B10" s="131"/>
      <c r="D10" s="131"/>
      <c r="G10" s="131"/>
    </row>
    <row r="11" spans="1:10" ht="27" x14ac:dyDescent="0.3">
      <c r="B11" s="68" t="s">
        <v>797</v>
      </c>
      <c r="D11" s="131"/>
      <c r="G11" s="131"/>
    </row>
    <row r="12" spans="1:10" x14ac:dyDescent="0.3">
      <c r="B12" s="69" t="s">
        <v>798</v>
      </c>
      <c r="C12" s="69" t="s">
        <v>799</v>
      </c>
      <c r="D12" s="69" t="s">
        <v>800</v>
      </c>
      <c r="E12" s="69" t="s">
        <v>801</v>
      </c>
      <c r="F12" s="69" t="s">
        <v>800</v>
      </c>
      <c r="G12" s="69" t="s">
        <v>618</v>
      </c>
    </row>
    <row r="13" spans="1:10" ht="27" x14ac:dyDescent="0.3">
      <c r="B13" s="16" t="s">
        <v>802</v>
      </c>
      <c r="C13" s="30">
        <v>29381</v>
      </c>
      <c r="D13" s="140" t="s">
        <v>803</v>
      </c>
      <c r="E13" s="30">
        <v>8458</v>
      </c>
      <c r="F13" s="56" t="s">
        <v>804</v>
      </c>
      <c r="G13" s="58" t="s">
        <v>805</v>
      </c>
    </row>
    <row r="14" spans="1:10" x14ac:dyDescent="0.3">
      <c r="B14" s="16" t="s">
        <v>806</v>
      </c>
      <c r="C14" s="30">
        <v>28074</v>
      </c>
      <c r="D14" s="140" t="s">
        <v>807</v>
      </c>
      <c r="E14" s="30">
        <v>9080</v>
      </c>
      <c r="F14" s="56" t="s">
        <v>808</v>
      </c>
      <c r="G14" s="58"/>
    </row>
    <row r="15" spans="1:10" x14ac:dyDescent="0.3">
      <c r="B15" s="16" t="s">
        <v>809</v>
      </c>
      <c r="C15" s="30">
        <v>30282</v>
      </c>
      <c r="D15" s="140" t="s">
        <v>810</v>
      </c>
      <c r="E15" s="30">
        <v>10730</v>
      </c>
      <c r="F15" s="56" t="s">
        <v>811</v>
      </c>
      <c r="G15" s="58" t="s">
        <v>812</v>
      </c>
    </row>
    <row r="16" spans="1:10" x14ac:dyDescent="0.3">
      <c r="B16" s="148" t="s">
        <v>813</v>
      </c>
      <c r="C16" s="70"/>
      <c r="D16" s="140" t="s">
        <v>814</v>
      </c>
      <c r="E16" s="70"/>
      <c r="F16" s="56" t="s">
        <v>815</v>
      </c>
      <c r="G16" s="58" t="s">
        <v>816</v>
      </c>
    </row>
    <row r="17" spans="2:10" x14ac:dyDescent="0.3">
      <c r="B17" s="131"/>
      <c r="D17" s="131"/>
      <c r="G17" s="131"/>
    </row>
    <row r="18" spans="2:10" x14ac:dyDescent="0.3">
      <c r="B18" s="128" t="s">
        <v>817</v>
      </c>
      <c r="C18" s="130"/>
      <c r="D18" s="128"/>
      <c r="E18" s="130"/>
      <c r="F18" s="130"/>
      <c r="G18" s="128"/>
      <c r="H18" s="130"/>
      <c r="I18" s="130"/>
      <c r="J18" s="130"/>
    </row>
    <row r="19" spans="2:10" x14ac:dyDescent="0.3">
      <c r="B19" s="131"/>
      <c r="D19" s="131"/>
      <c r="G19" s="131"/>
    </row>
    <row r="20" spans="2:10" ht="27" x14ac:dyDescent="0.3">
      <c r="B20" s="68" t="s">
        <v>818</v>
      </c>
      <c r="D20" s="131"/>
      <c r="G20" s="131"/>
    </row>
    <row r="21" spans="2:10" x14ac:dyDescent="0.3">
      <c r="B21" s="151" t="s">
        <v>465</v>
      </c>
      <c r="C21" s="67" t="s">
        <v>625</v>
      </c>
      <c r="D21" s="151" t="s">
        <v>819</v>
      </c>
      <c r="E21" s="67" t="s">
        <v>820</v>
      </c>
      <c r="F21" s="67" t="s">
        <v>821</v>
      </c>
      <c r="G21" s="151" t="s">
        <v>822</v>
      </c>
    </row>
    <row r="22" spans="2:10" x14ac:dyDescent="0.3">
      <c r="B22" s="57" t="s">
        <v>823</v>
      </c>
      <c r="C22" s="71">
        <v>2688</v>
      </c>
      <c r="D22" s="167">
        <v>49530</v>
      </c>
      <c r="E22" s="71">
        <v>35</v>
      </c>
      <c r="F22" s="44" t="s">
        <v>824</v>
      </c>
      <c r="G22" s="154" t="s">
        <v>825</v>
      </c>
    </row>
    <row r="23" spans="2:10" x14ac:dyDescent="0.3">
      <c r="B23" s="57" t="s">
        <v>826</v>
      </c>
      <c r="C23" s="71">
        <v>141</v>
      </c>
      <c r="D23" s="167">
        <v>30267</v>
      </c>
      <c r="E23" s="71">
        <v>14</v>
      </c>
      <c r="F23" s="44" t="s">
        <v>827</v>
      </c>
      <c r="G23" s="154" t="s">
        <v>828</v>
      </c>
    </row>
    <row r="24" spans="2:10" ht="27" x14ac:dyDescent="0.3">
      <c r="B24" s="57" t="s">
        <v>829</v>
      </c>
      <c r="C24" s="71">
        <v>5</v>
      </c>
      <c r="D24" s="167">
        <v>104</v>
      </c>
      <c r="E24" s="71">
        <v>3</v>
      </c>
      <c r="F24" s="44" t="s">
        <v>129</v>
      </c>
      <c r="G24" s="154" t="s">
        <v>830</v>
      </c>
    </row>
    <row r="25" spans="2:10" x14ac:dyDescent="0.3">
      <c r="B25" s="129" t="s">
        <v>831</v>
      </c>
      <c r="C25" s="129"/>
      <c r="D25" s="129"/>
      <c r="E25" s="129"/>
      <c r="F25" s="129"/>
      <c r="G25" s="129"/>
      <c r="H25" s="129"/>
      <c r="I25" s="129"/>
      <c r="J25" s="129"/>
    </row>
    <row r="26" spans="2:10" x14ac:dyDescent="0.3">
      <c r="B26" s="131"/>
      <c r="D26" s="131"/>
      <c r="G26" s="131"/>
    </row>
    <row r="27" spans="2:10" ht="27" x14ac:dyDescent="0.3">
      <c r="B27" s="68" t="s">
        <v>832</v>
      </c>
      <c r="D27" s="131"/>
      <c r="G27" s="131"/>
    </row>
    <row r="28" spans="2:10" x14ac:dyDescent="0.3">
      <c r="B28" s="151" t="s">
        <v>786</v>
      </c>
      <c r="C28" s="67" t="s">
        <v>833</v>
      </c>
      <c r="D28" s="151" t="s">
        <v>564</v>
      </c>
      <c r="G28" s="131"/>
    </row>
    <row r="29" spans="2:10" x14ac:dyDescent="0.3">
      <c r="B29" s="16" t="s">
        <v>834</v>
      </c>
      <c r="C29" s="30">
        <v>1095150</v>
      </c>
      <c r="D29" s="58" t="s">
        <v>835</v>
      </c>
      <c r="G29" s="131"/>
    </row>
    <row r="30" spans="2:10" x14ac:dyDescent="0.3">
      <c r="B30" s="16" t="s">
        <v>792</v>
      </c>
      <c r="C30" s="30">
        <v>890931</v>
      </c>
      <c r="D30" s="58" t="s">
        <v>836</v>
      </c>
      <c r="G30" s="131"/>
    </row>
    <row r="31" spans="2:10" x14ac:dyDescent="0.3">
      <c r="B31" s="16" t="s">
        <v>837</v>
      </c>
      <c r="C31" s="30">
        <v>503312</v>
      </c>
      <c r="D31" s="58" t="s">
        <v>838</v>
      </c>
      <c r="G31" s="131"/>
    </row>
    <row r="32" spans="2:10" ht="27" x14ac:dyDescent="0.3">
      <c r="B32" s="16" t="s">
        <v>839</v>
      </c>
      <c r="C32" s="30">
        <v>524932</v>
      </c>
      <c r="D32" s="58" t="s">
        <v>840</v>
      </c>
      <c r="G32" s="131"/>
    </row>
    <row r="33" spans="2:7" x14ac:dyDescent="0.3">
      <c r="B33" s="131"/>
      <c r="D33" s="131"/>
      <c r="G33" s="131"/>
    </row>
    <row r="34" spans="2:7" ht="27" x14ac:dyDescent="0.3">
      <c r="B34" s="68" t="s">
        <v>841</v>
      </c>
      <c r="D34" s="131"/>
      <c r="G34" s="131"/>
    </row>
    <row r="35" spans="2:7" x14ac:dyDescent="0.3">
      <c r="B35" s="151" t="s">
        <v>842</v>
      </c>
      <c r="C35" s="67" t="s">
        <v>843</v>
      </c>
      <c r="D35" s="151" t="s">
        <v>844</v>
      </c>
      <c r="E35" s="67" t="s">
        <v>625</v>
      </c>
      <c r="F35" s="67" t="s">
        <v>845</v>
      </c>
      <c r="G35" s="131"/>
    </row>
    <row r="36" spans="2:7" x14ac:dyDescent="0.3">
      <c r="B36" s="152">
        <v>202423</v>
      </c>
      <c r="C36" s="3" t="s">
        <v>846</v>
      </c>
      <c r="D36" s="168">
        <v>519.66999999999996</v>
      </c>
      <c r="E36" s="73">
        <v>9</v>
      </c>
      <c r="F36" s="73">
        <v>8</v>
      </c>
      <c r="G36" s="131"/>
    </row>
    <row r="37" spans="2:7" x14ac:dyDescent="0.3">
      <c r="B37" s="152">
        <v>202424</v>
      </c>
      <c r="C37" s="3" t="s">
        <v>847</v>
      </c>
      <c r="D37" s="168">
        <v>8022.87</v>
      </c>
      <c r="E37" s="73">
        <v>163</v>
      </c>
      <c r="F37" s="73">
        <v>98</v>
      </c>
      <c r="G37" s="131"/>
    </row>
    <row r="38" spans="2:7" x14ac:dyDescent="0.3">
      <c r="B38" s="152">
        <v>202425</v>
      </c>
      <c r="C38" s="3" t="s">
        <v>848</v>
      </c>
      <c r="D38" s="168">
        <v>8759.49</v>
      </c>
      <c r="E38" s="73">
        <v>171</v>
      </c>
      <c r="F38" s="73">
        <v>98</v>
      </c>
      <c r="G38" s="131"/>
    </row>
    <row r="39" spans="2:7" x14ac:dyDescent="0.3">
      <c r="B39" s="152">
        <v>202426</v>
      </c>
      <c r="C39" s="3" t="s">
        <v>849</v>
      </c>
      <c r="D39" s="168">
        <v>6313.85</v>
      </c>
      <c r="E39" s="73">
        <v>133</v>
      </c>
      <c r="F39" s="73">
        <v>85</v>
      </c>
      <c r="G39" s="131"/>
    </row>
    <row r="40" spans="2:7" x14ac:dyDescent="0.3">
      <c r="B40" s="152">
        <v>202427</v>
      </c>
      <c r="C40" s="3" t="s">
        <v>850</v>
      </c>
      <c r="D40" s="168">
        <v>4824.41</v>
      </c>
      <c r="E40" s="73">
        <v>93</v>
      </c>
      <c r="F40" s="73">
        <v>72</v>
      </c>
      <c r="G40" s="131"/>
    </row>
    <row r="41" spans="2:7" x14ac:dyDescent="0.3">
      <c r="B41" s="152">
        <v>202428</v>
      </c>
      <c r="C41" s="3" t="s">
        <v>851</v>
      </c>
      <c r="D41" s="168">
        <v>4411.8999999999996</v>
      </c>
      <c r="E41" s="73">
        <v>88</v>
      </c>
      <c r="F41" s="73">
        <v>57</v>
      </c>
      <c r="G41" s="131"/>
    </row>
    <row r="42" spans="2:7" x14ac:dyDescent="0.3">
      <c r="B42" s="152">
        <v>202429</v>
      </c>
      <c r="C42" s="3" t="s">
        <v>852</v>
      </c>
      <c r="D42" s="168">
        <v>11173.01</v>
      </c>
      <c r="E42" s="73">
        <v>213</v>
      </c>
      <c r="F42" s="73">
        <v>124</v>
      </c>
      <c r="G42" s="131"/>
    </row>
    <row r="43" spans="2:7" x14ac:dyDescent="0.3">
      <c r="B43" s="152">
        <v>202430</v>
      </c>
      <c r="C43" s="3" t="s">
        <v>853</v>
      </c>
      <c r="D43" s="168">
        <v>22063.1</v>
      </c>
      <c r="E43" s="73">
        <v>411</v>
      </c>
      <c r="F43" s="73">
        <v>203</v>
      </c>
      <c r="G43" s="131"/>
    </row>
    <row r="44" spans="2:7" x14ac:dyDescent="0.3">
      <c r="B44" s="152">
        <v>202431</v>
      </c>
      <c r="C44" s="3" t="s">
        <v>854</v>
      </c>
      <c r="D44" s="168">
        <v>24601.48</v>
      </c>
      <c r="E44" s="73">
        <v>513</v>
      </c>
      <c r="F44" s="73">
        <v>304</v>
      </c>
      <c r="G44" s="131"/>
    </row>
    <row r="45" spans="2:7" x14ac:dyDescent="0.3">
      <c r="B45" s="152">
        <v>202432</v>
      </c>
      <c r="C45" s="3" t="s">
        <v>855</v>
      </c>
      <c r="D45" s="168">
        <v>27905.599999999999</v>
      </c>
      <c r="E45" s="73">
        <v>550</v>
      </c>
      <c r="F45" s="73">
        <v>303</v>
      </c>
      <c r="G45" s="131"/>
    </row>
    <row r="46" spans="2:7" x14ac:dyDescent="0.3">
      <c r="B46" s="152">
        <v>202433</v>
      </c>
      <c r="C46" s="3" t="s">
        <v>856</v>
      </c>
      <c r="D46" s="168">
        <v>25607.16</v>
      </c>
      <c r="E46" s="73">
        <v>501</v>
      </c>
      <c r="F46" s="73">
        <v>311</v>
      </c>
      <c r="G46" s="131"/>
    </row>
    <row r="47" spans="2:7" x14ac:dyDescent="0.3">
      <c r="B47" s="152">
        <v>202434</v>
      </c>
      <c r="C47" s="3" t="s">
        <v>857</v>
      </c>
      <c r="D47" s="168">
        <v>25877.68</v>
      </c>
      <c r="E47" s="73">
        <v>493</v>
      </c>
      <c r="F47" s="73">
        <v>309</v>
      </c>
      <c r="G47" s="131"/>
    </row>
    <row r="48" spans="2:7" x14ac:dyDescent="0.3">
      <c r="B48" s="152">
        <v>202435</v>
      </c>
      <c r="C48" s="3" t="s">
        <v>858</v>
      </c>
      <c r="D48" s="168">
        <v>23193.73</v>
      </c>
      <c r="E48" s="73">
        <v>465</v>
      </c>
      <c r="F48" s="73">
        <v>285</v>
      </c>
      <c r="G48" s="131"/>
    </row>
    <row r="49" spans="2:7" x14ac:dyDescent="0.3">
      <c r="B49" s="152">
        <v>202436</v>
      </c>
      <c r="C49" s="3" t="s">
        <v>859</v>
      </c>
      <c r="D49" s="168">
        <v>36676.06</v>
      </c>
      <c r="E49" s="73">
        <v>749</v>
      </c>
      <c r="F49" s="73">
        <v>442</v>
      </c>
      <c r="G49" s="131"/>
    </row>
    <row r="50" spans="2:7" x14ac:dyDescent="0.3">
      <c r="B50" s="152">
        <v>202437</v>
      </c>
      <c r="C50" s="3" t="s">
        <v>860</v>
      </c>
      <c r="D50" s="168">
        <v>35549.300000000003</v>
      </c>
      <c r="E50" s="73">
        <v>719</v>
      </c>
      <c r="F50" s="73">
        <v>422</v>
      </c>
      <c r="G50" s="131"/>
    </row>
    <row r="51" spans="2:7" x14ac:dyDescent="0.3">
      <c r="B51" s="152">
        <v>202438</v>
      </c>
      <c r="C51" s="3" t="s">
        <v>861</v>
      </c>
      <c r="D51" s="168">
        <v>31941.73</v>
      </c>
      <c r="E51" s="73">
        <v>672</v>
      </c>
      <c r="F51" s="73">
        <v>379</v>
      </c>
      <c r="G51" s="131"/>
    </row>
    <row r="52" spans="2:7" x14ac:dyDescent="0.3">
      <c r="B52" s="152">
        <v>202439</v>
      </c>
      <c r="C52" s="3" t="s">
        <v>862</v>
      </c>
      <c r="D52" s="168">
        <v>29082.35</v>
      </c>
      <c r="E52" s="73">
        <v>610</v>
      </c>
      <c r="F52" s="73">
        <v>376</v>
      </c>
      <c r="G52" s="131"/>
    </row>
    <row r="53" spans="2:7" x14ac:dyDescent="0.3">
      <c r="B53" s="152">
        <v>202440</v>
      </c>
      <c r="C53" s="3" t="s">
        <v>863</v>
      </c>
      <c r="D53" s="168">
        <v>30436.41</v>
      </c>
      <c r="E53" s="73">
        <v>642</v>
      </c>
      <c r="F53" s="73">
        <v>381</v>
      </c>
      <c r="G53" s="131"/>
    </row>
    <row r="54" spans="2:7" x14ac:dyDescent="0.3">
      <c r="B54" s="152">
        <v>202441</v>
      </c>
      <c r="C54" s="3" t="s">
        <v>864</v>
      </c>
      <c r="D54" s="168">
        <v>20837.14</v>
      </c>
      <c r="E54" s="73">
        <v>433</v>
      </c>
      <c r="F54" s="73">
        <v>276</v>
      </c>
      <c r="G54" s="131"/>
    </row>
    <row r="55" spans="2:7" x14ac:dyDescent="0.3">
      <c r="B55" s="152">
        <v>202442</v>
      </c>
      <c r="C55" s="3" t="s">
        <v>865</v>
      </c>
      <c r="D55" s="168">
        <v>16509.75</v>
      </c>
      <c r="E55" s="73">
        <v>432</v>
      </c>
      <c r="F55" s="73">
        <v>260</v>
      </c>
      <c r="G55" s="131"/>
    </row>
    <row r="56" spans="2:7" x14ac:dyDescent="0.3">
      <c r="B56" s="152">
        <v>202443</v>
      </c>
      <c r="C56" s="3" t="s">
        <v>866</v>
      </c>
      <c r="D56" s="168">
        <v>18116.97</v>
      </c>
      <c r="E56" s="73">
        <v>449</v>
      </c>
      <c r="F56" s="73">
        <v>278</v>
      </c>
      <c r="G56" s="131"/>
    </row>
    <row r="57" spans="2:7" x14ac:dyDescent="0.3">
      <c r="B57" s="152">
        <v>202444</v>
      </c>
      <c r="C57" s="3" t="s">
        <v>867</v>
      </c>
      <c r="D57" s="168">
        <v>20975.01</v>
      </c>
      <c r="E57" s="73">
        <v>628</v>
      </c>
      <c r="F57" s="73">
        <v>254</v>
      </c>
      <c r="G57" s="131"/>
    </row>
    <row r="58" spans="2:7" x14ac:dyDescent="0.3">
      <c r="B58" s="152">
        <v>202445</v>
      </c>
      <c r="C58" s="3" t="s">
        <v>868</v>
      </c>
      <c r="D58" s="168">
        <v>18579.71</v>
      </c>
      <c r="E58" s="73">
        <v>410</v>
      </c>
      <c r="F58" s="73">
        <v>259</v>
      </c>
      <c r="G58" s="131"/>
    </row>
    <row r="59" spans="2:7" x14ac:dyDescent="0.3">
      <c r="B59" s="152">
        <v>202446</v>
      </c>
      <c r="C59" s="3" t="s">
        <v>869</v>
      </c>
      <c r="D59" s="168">
        <v>18515.900000000001</v>
      </c>
      <c r="E59" s="73">
        <v>428</v>
      </c>
      <c r="F59" s="73">
        <v>243</v>
      </c>
      <c r="G59" s="131"/>
    </row>
    <row r="60" spans="2:7" x14ac:dyDescent="0.3">
      <c r="B60" s="152">
        <v>202447</v>
      </c>
      <c r="C60" s="3" t="s">
        <v>870</v>
      </c>
      <c r="D60" s="168">
        <v>35233.47</v>
      </c>
      <c r="E60" s="73">
        <v>844</v>
      </c>
      <c r="F60" s="73">
        <v>390</v>
      </c>
      <c r="G60" s="131"/>
    </row>
    <row r="61" spans="2:7" x14ac:dyDescent="0.3">
      <c r="B61" s="152">
        <v>202448</v>
      </c>
      <c r="C61" s="3" t="s">
        <v>871</v>
      </c>
      <c r="D61" s="168">
        <v>45353.95</v>
      </c>
      <c r="E61" s="73">
        <v>1043</v>
      </c>
      <c r="F61" s="73">
        <v>431</v>
      </c>
      <c r="G61" s="131"/>
    </row>
    <row r="62" spans="2:7" x14ac:dyDescent="0.3">
      <c r="B62" s="152">
        <v>202449</v>
      </c>
      <c r="C62" s="3" t="s">
        <v>872</v>
      </c>
      <c r="D62" s="168">
        <v>33727.800000000003</v>
      </c>
      <c r="E62" s="73">
        <v>808</v>
      </c>
      <c r="F62" s="73">
        <v>381</v>
      </c>
      <c r="G62" s="131"/>
    </row>
    <row r="63" spans="2:7" x14ac:dyDescent="0.3">
      <c r="B63" s="152">
        <v>202450</v>
      </c>
      <c r="C63" s="3" t="s">
        <v>873</v>
      </c>
      <c r="D63" s="168">
        <v>11887.42</v>
      </c>
      <c r="E63" s="73">
        <v>295</v>
      </c>
      <c r="F63" s="73">
        <v>164</v>
      </c>
      <c r="G63" s="131"/>
    </row>
    <row r="64" spans="2:7" x14ac:dyDescent="0.3">
      <c r="B64" s="152">
        <v>202451</v>
      </c>
      <c r="C64" s="3" t="s">
        <v>874</v>
      </c>
      <c r="D64" s="168">
        <v>15647.71</v>
      </c>
      <c r="E64" s="73">
        <v>444</v>
      </c>
      <c r="F64" s="73">
        <v>245</v>
      </c>
      <c r="G64" s="131"/>
    </row>
    <row r="65" spans="2:7" x14ac:dyDescent="0.3">
      <c r="B65" s="152">
        <v>202452</v>
      </c>
      <c r="C65" s="3" t="s">
        <v>875</v>
      </c>
      <c r="D65" s="168">
        <v>12034.2</v>
      </c>
      <c r="E65" s="73">
        <v>311</v>
      </c>
      <c r="F65" s="73">
        <v>180</v>
      </c>
      <c r="G65" s="131"/>
    </row>
    <row r="66" spans="2:7" x14ac:dyDescent="0.3">
      <c r="B66" s="152">
        <v>202453</v>
      </c>
      <c r="C66" s="3" t="s">
        <v>876</v>
      </c>
      <c r="D66" s="168">
        <v>10678.66</v>
      </c>
      <c r="E66" s="73">
        <v>286</v>
      </c>
      <c r="F66" s="73">
        <v>181</v>
      </c>
      <c r="G66" s="131"/>
    </row>
    <row r="67" spans="2:7" x14ac:dyDescent="0.3">
      <c r="B67" s="152">
        <v>202501</v>
      </c>
      <c r="C67" s="3" t="s">
        <v>877</v>
      </c>
      <c r="D67" s="168">
        <v>11586.79</v>
      </c>
      <c r="E67" s="73">
        <v>332</v>
      </c>
      <c r="F67" s="73">
        <v>197</v>
      </c>
      <c r="G67" s="131"/>
    </row>
    <row r="68" spans="2:7" x14ac:dyDescent="0.3">
      <c r="B68" s="152">
        <v>202502</v>
      </c>
      <c r="C68" s="3" t="s">
        <v>878</v>
      </c>
      <c r="D68" s="168">
        <v>14015.31</v>
      </c>
      <c r="E68" s="73">
        <v>446</v>
      </c>
      <c r="F68" s="73">
        <v>239</v>
      </c>
      <c r="G68" s="131"/>
    </row>
    <row r="69" spans="2:7" x14ac:dyDescent="0.3">
      <c r="B69" s="152">
        <v>202503</v>
      </c>
      <c r="C69" s="3" t="s">
        <v>879</v>
      </c>
      <c r="D69" s="168">
        <v>15206.99</v>
      </c>
      <c r="E69" s="73">
        <v>557</v>
      </c>
      <c r="F69" s="73">
        <v>269</v>
      </c>
      <c r="G69" s="131"/>
    </row>
    <row r="70" spans="2:7" x14ac:dyDescent="0.3">
      <c r="B70" s="152">
        <v>202504</v>
      </c>
      <c r="C70" s="3" t="s">
        <v>880</v>
      </c>
      <c r="D70" s="168">
        <v>15813.64</v>
      </c>
      <c r="E70" s="73">
        <v>599</v>
      </c>
      <c r="F70" s="73">
        <v>268</v>
      </c>
      <c r="G70" s="131"/>
    </row>
    <row r="71" spans="2:7" x14ac:dyDescent="0.3">
      <c r="B71" s="152">
        <v>202505</v>
      </c>
      <c r="C71" s="3" t="s">
        <v>881</v>
      </c>
      <c r="D71" s="168">
        <v>13302.34</v>
      </c>
      <c r="E71" s="73">
        <v>466</v>
      </c>
      <c r="F71" s="73">
        <v>236</v>
      </c>
      <c r="G71" s="131"/>
    </row>
    <row r="72" spans="2:7" x14ac:dyDescent="0.3">
      <c r="B72" s="152">
        <v>202506</v>
      </c>
      <c r="C72" s="3" t="s">
        <v>882</v>
      </c>
      <c r="D72" s="168">
        <v>16026.22</v>
      </c>
      <c r="E72" s="73">
        <v>435</v>
      </c>
      <c r="F72" s="73">
        <v>242</v>
      </c>
      <c r="G72" s="131"/>
    </row>
    <row r="73" spans="2:7" x14ac:dyDescent="0.3">
      <c r="B73" s="152">
        <v>202507</v>
      </c>
      <c r="C73" s="3" t="s">
        <v>883</v>
      </c>
      <c r="D73" s="168">
        <v>12380.73</v>
      </c>
      <c r="E73" s="73">
        <v>346</v>
      </c>
      <c r="F73" s="73">
        <v>210</v>
      </c>
      <c r="G73" s="131"/>
    </row>
    <row r="74" spans="2:7" x14ac:dyDescent="0.3">
      <c r="B74" s="152">
        <v>202508</v>
      </c>
      <c r="C74" s="3" t="s">
        <v>884</v>
      </c>
      <c r="D74" s="168">
        <v>15874.7</v>
      </c>
      <c r="E74" s="73">
        <v>440</v>
      </c>
      <c r="F74" s="73">
        <v>226</v>
      </c>
      <c r="G74" s="131"/>
    </row>
    <row r="75" spans="2:7" x14ac:dyDescent="0.3">
      <c r="B75" s="152">
        <v>202509</v>
      </c>
      <c r="C75" s="3" t="s">
        <v>885</v>
      </c>
      <c r="D75" s="168">
        <v>16337.06</v>
      </c>
      <c r="E75" s="73">
        <v>405</v>
      </c>
      <c r="F75" s="73">
        <v>220</v>
      </c>
      <c r="G75" s="131"/>
    </row>
    <row r="76" spans="2:7" x14ac:dyDescent="0.3">
      <c r="B76" s="152">
        <v>202510</v>
      </c>
      <c r="C76" s="3" t="s">
        <v>886</v>
      </c>
      <c r="D76" s="168">
        <v>15983.16</v>
      </c>
      <c r="E76" s="73">
        <v>339</v>
      </c>
      <c r="F76" s="73">
        <v>199</v>
      </c>
      <c r="G76" s="131"/>
    </row>
    <row r="77" spans="2:7" x14ac:dyDescent="0.3">
      <c r="B77" s="152">
        <v>202511</v>
      </c>
      <c r="C77" s="3" t="s">
        <v>887</v>
      </c>
      <c r="D77" s="168">
        <v>27006.07</v>
      </c>
      <c r="E77" s="73">
        <v>612</v>
      </c>
      <c r="F77" s="73">
        <v>323</v>
      </c>
      <c r="G77" s="131"/>
    </row>
    <row r="78" spans="2:7" x14ac:dyDescent="0.3">
      <c r="B78" s="152">
        <v>202512</v>
      </c>
      <c r="C78" s="3" t="s">
        <v>888</v>
      </c>
      <c r="D78" s="168">
        <v>12735.12</v>
      </c>
      <c r="E78" s="73">
        <v>305</v>
      </c>
      <c r="F78" s="73">
        <v>179</v>
      </c>
      <c r="G78" s="131"/>
    </row>
    <row r="79" spans="2:7" x14ac:dyDescent="0.3">
      <c r="B79" s="152">
        <v>202513</v>
      </c>
      <c r="C79" s="3" t="s">
        <v>889</v>
      </c>
      <c r="D79" s="168">
        <v>15479.81</v>
      </c>
      <c r="E79" s="73">
        <v>363</v>
      </c>
      <c r="F79" s="73">
        <v>226</v>
      </c>
      <c r="G79" s="131"/>
    </row>
    <row r="80" spans="2:7" x14ac:dyDescent="0.3">
      <c r="B80" s="152">
        <v>202514</v>
      </c>
      <c r="C80" s="3" t="s">
        <v>890</v>
      </c>
      <c r="D80" s="168">
        <v>12971.32</v>
      </c>
      <c r="E80" s="73">
        <v>284</v>
      </c>
      <c r="F80" s="73">
        <v>185</v>
      </c>
      <c r="G80" s="131"/>
    </row>
    <row r="81" spans="2:7" x14ac:dyDescent="0.3">
      <c r="B81" s="152">
        <v>202515</v>
      </c>
      <c r="C81" s="3" t="s">
        <v>891</v>
      </c>
      <c r="D81" s="168">
        <v>13460.92</v>
      </c>
      <c r="E81" s="73">
        <v>338</v>
      </c>
      <c r="F81" s="73">
        <v>188</v>
      </c>
      <c r="G81" s="131"/>
    </row>
    <row r="82" spans="2:7" x14ac:dyDescent="0.3">
      <c r="B82" s="152">
        <v>202516</v>
      </c>
      <c r="C82" s="3" t="s">
        <v>892</v>
      </c>
      <c r="D82" s="168">
        <v>15091.24</v>
      </c>
      <c r="E82" s="73">
        <v>377</v>
      </c>
      <c r="F82" s="73">
        <v>128</v>
      </c>
      <c r="G82" s="131"/>
    </row>
    <row r="83" spans="2:7" x14ac:dyDescent="0.3">
      <c r="B83" s="152">
        <v>202517</v>
      </c>
      <c r="C83" s="3" t="s">
        <v>893</v>
      </c>
      <c r="D83" s="168">
        <v>10913.88</v>
      </c>
      <c r="E83" s="73">
        <v>255</v>
      </c>
      <c r="F83" s="73">
        <v>115</v>
      </c>
      <c r="G83" s="131"/>
    </row>
    <row r="84" spans="2:7" x14ac:dyDescent="0.3">
      <c r="B84" s="152">
        <v>202518</v>
      </c>
      <c r="C84" s="3" t="s">
        <v>894</v>
      </c>
      <c r="D84" s="168">
        <v>11676.33</v>
      </c>
      <c r="E84" s="73">
        <v>275</v>
      </c>
      <c r="F84" s="73">
        <v>118</v>
      </c>
      <c r="G84" s="131"/>
    </row>
    <row r="85" spans="2:7" x14ac:dyDescent="0.3">
      <c r="B85" s="152">
        <v>202519</v>
      </c>
      <c r="C85" s="3" t="s">
        <v>895</v>
      </c>
      <c r="D85" s="168">
        <v>11051.58</v>
      </c>
      <c r="E85" s="73">
        <v>298</v>
      </c>
      <c r="F85" s="73">
        <v>105</v>
      </c>
      <c r="G85" s="131"/>
    </row>
    <row r="86" spans="2:7" x14ac:dyDescent="0.3">
      <c r="B86" s="152">
        <v>202520</v>
      </c>
      <c r="C86" s="3" t="s">
        <v>896</v>
      </c>
      <c r="D86" s="168">
        <v>13146.24</v>
      </c>
      <c r="E86" s="73">
        <v>311</v>
      </c>
      <c r="F86" s="73">
        <v>130</v>
      </c>
      <c r="G86" s="131"/>
    </row>
    <row r="87" spans="2:7" x14ac:dyDescent="0.3">
      <c r="B87" s="152">
        <v>202521</v>
      </c>
      <c r="C87" s="3" t="s">
        <v>897</v>
      </c>
      <c r="D87" s="168">
        <v>9186.64</v>
      </c>
      <c r="E87" s="73">
        <v>227</v>
      </c>
      <c r="F87" s="73">
        <v>117</v>
      </c>
      <c r="G87" s="131"/>
    </row>
    <row r="88" spans="2:7" x14ac:dyDescent="0.3">
      <c r="B88" s="152">
        <v>202522</v>
      </c>
      <c r="C88" s="3" t="s">
        <v>898</v>
      </c>
      <c r="D88" s="168">
        <v>11712.03</v>
      </c>
      <c r="E88" s="73">
        <v>254</v>
      </c>
      <c r="F88" s="73">
        <v>125</v>
      </c>
      <c r="G88" s="131"/>
    </row>
    <row r="89" spans="2:7" x14ac:dyDescent="0.3">
      <c r="B89" s="152">
        <v>202523</v>
      </c>
      <c r="C89" s="3" t="s">
        <v>899</v>
      </c>
      <c r="D89" s="168">
        <v>12293.09</v>
      </c>
      <c r="E89" s="73">
        <v>267</v>
      </c>
      <c r="F89" s="73">
        <v>133</v>
      </c>
      <c r="G89" s="131"/>
    </row>
    <row r="90" spans="2:7" x14ac:dyDescent="0.3">
      <c r="B90" s="152">
        <v>202524</v>
      </c>
      <c r="C90" s="3" t="s">
        <v>900</v>
      </c>
      <c r="D90" s="168">
        <v>12684.59</v>
      </c>
      <c r="E90" s="73">
        <v>305</v>
      </c>
      <c r="F90" s="73">
        <v>122</v>
      </c>
      <c r="G90" s="131"/>
    </row>
    <row r="91" spans="2:7" x14ac:dyDescent="0.3">
      <c r="B91" s="152">
        <v>202525</v>
      </c>
      <c r="C91" s="3" t="s">
        <v>901</v>
      </c>
      <c r="D91" s="168">
        <v>14576.12</v>
      </c>
      <c r="E91" s="73">
        <v>357</v>
      </c>
      <c r="F91" s="73">
        <v>145</v>
      </c>
      <c r="G91" s="131"/>
    </row>
    <row r="92" spans="2:7" x14ac:dyDescent="0.3">
      <c r="B92" s="152">
        <v>202526</v>
      </c>
      <c r="C92" s="3" t="s">
        <v>902</v>
      </c>
      <c r="D92" s="168">
        <v>13192.34</v>
      </c>
      <c r="E92" s="73">
        <v>318</v>
      </c>
      <c r="F92" s="73">
        <v>127</v>
      </c>
      <c r="G92" s="131"/>
    </row>
    <row r="93" spans="2:7" x14ac:dyDescent="0.3">
      <c r="B93" s="152">
        <v>202527</v>
      </c>
      <c r="C93" s="3" t="s">
        <v>903</v>
      </c>
      <c r="D93" s="168">
        <v>11526.3</v>
      </c>
      <c r="E93" s="73">
        <v>259</v>
      </c>
      <c r="F93" s="73">
        <v>115</v>
      </c>
      <c r="G93" s="131"/>
    </row>
    <row r="94" spans="2:7" x14ac:dyDescent="0.3">
      <c r="B94" s="152">
        <v>202528</v>
      </c>
      <c r="C94" s="3" t="s">
        <v>904</v>
      </c>
      <c r="D94" s="168">
        <v>14979.5</v>
      </c>
      <c r="E94" s="73">
        <v>328</v>
      </c>
      <c r="F94" s="73">
        <v>138</v>
      </c>
      <c r="G94" s="131"/>
    </row>
    <row r="95" spans="2:7" x14ac:dyDescent="0.3">
      <c r="B95" s="152">
        <v>202529</v>
      </c>
      <c r="C95" s="3" t="s">
        <v>905</v>
      </c>
      <c r="D95" s="168">
        <v>10443.629999999999</v>
      </c>
      <c r="E95" s="73">
        <v>235</v>
      </c>
      <c r="F95" s="73">
        <v>98</v>
      </c>
      <c r="G95" s="131"/>
    </row>
    <row r="96" spans="2:7" x14ac:dyDescent="0.3">
      <c r="B96" s="152">
        <v>202530</v>
      </c>
      <c r="C96" s="3" t="s">
        <v>906</v>
      </c>
      <c r="D96" s="168">
        <v>13167.84</v>
      </c>
      <c r="E96" s="73">
        <v>279</v>
      </c>
      <c r="F96" s="73">
        <v>111</v>
      </c>
      <c r="G96" s="131"/>
    </row>
    <row r="97" spans="2:7" x14ac:dyDescent="0.3">
      <c r="B97" s="152">
        <v>202531</v>
      </c>
      <c r="C97" s="3" t="s">
        <v>907</v>
      </c>
      <c r="D97" s="168">
        <v>11360.67</v>
      </c>
      <c r="E97" s="73">
        <v>235</v>
      </c>
      <c r="F97" s="73">
        <v>103</v>
      </c>
      <c r="G97" s="131"/>
    </row>
    <row r="98" spans="2:7" x14ac:dyDescent="0.3">
      <c r="B98" s="152">
        <v>202532</v>
      </c>
      <c r="C98" s="3" t="s">
        <v>908</v>
      </c>
      <c r="D98" s="168">
        <v>9221.15</v>
      </c>
      <c r="E98" s="73">
        <v>236</v>
      </c>
      <c r="F98" s="73">
        <v>110</v>
      </c>
      <c r="G98" s="131"/>
    </row>
    <row r="99" spans="2:7" x14ac:dyDescent="0.3">
      <c r="B99" s="152">
        <v>202533</v>
      </c>
      <c r="C99" s="3" t="s">
        <v>909</v>
      </c>
      <c r="D99" s="168">
        <v>8629.3799999999992</v>
      </c>
      <c r="E99" s="73">
        <v>197</v>
      </c>
      <c r="F99" s="73">
        <v>100</v>
      </c>
      <c r="G99" s="131"/>
    </row>
    <row r="100" spans="2:7" x14ac:dyDescent="0.3">
      <c r="B100" s="152">
        <v>202534</v>
      </c>
      <c r="C100" s="3" t="s">
        <v>910</v>
      </c>
      <c r="D100" s="168">
        <v>6821.34</v>
      </c>
      <c r="E100" s="73">
        <v>152</v>
      </c>
      <c r="F100" s="73">
        <v>77</v>
      </c>
      <c r="G100" s="131"/>
    </row>
    <row r="101" spans="2:7" x14ac:dyDescent="0.3">
      <c r="B101" s="152">
        <v>202535</v>
      </c>
      <c r="C101" s="3" t="s">
        <v>911</v>
      </c>
      <c r="D101" s="168">
        <v>8362.9699999999993</v>
      </c>
      <c r="E101" s="73">
        <v>197</v>
      </c>
      <c r="F101" s="73">
        <v>95</v>
      </c>
      <c r="G101" s="131"/>
    </row>
    <row r="102" spans="2:7" x14ac:dyDescent="0.3">
      <c r="B102" s="152">
        <v>202536</v>
      </c>
      <c r="C102" s="3" t="s">
        <v>912</v>
      </c>
      <c r="D102" s="168">
        <v>9253.99</v>
      </c>
      <c r="E102" s="73">
        <v>309</v>
      </c>
      <c r="F102" s="73">
        <v>93</v>
      </c>
      <c r="G102" s="131"/>
    </row>
    <row r="103" spans="2:7" x14ac:dyDescent="0.3">
      <c r="B103" s="152">
        <v>202537</v>
      </c>
      <c r="C103" s="3" t="s">
        <v>913</v>
      </c>
      <c r="D103" s="168">
        <v>11544.46</v>
      </c>
      <c r="E103" s="73">
        <v>307</v>
      </c>
      <c r="F103" s="73">
        <v>110</v>
      </c>
      <c r="G103" s="131"/>
    </row>
    <row r="104" spans="2:7" x14ac:dyDescent="0.3">
      <c r="B104" s="152">
        <v>202538</v>
      </c>
      <c r="C104" s="3" t="s">
        <v>914</v>
      </c>
      <c r="D104" s="168">
        <v>8986.5300000000007</v>
      </c>
      <c r="E104" s="73">
        <v>228</v>
      </c>
      <c r="F104" s="73">
        <v>86</v>
      </c>
      <c r="G104" s="131"/>
    </row>
    <row r="105" spans="2:7" x14ac:dyDescent="0.3">
      <c r="B105" s="152">
        <v>202539</v>
      </c>
      <c r="C105" s="3" t="s">
        <v>915</v>
      </c>
      <c r="D105" s="168">
        <v>9070.24</v>
      </c>
      <c r="E105" s="73">
        <v>218</v>
      </c>
      <c r="F105" s="73">
        <v>91</v>
      </c>
      <c r="G105" s="131"/>
    </row>
    <row r="106" spans="2:7" x14ac:dyDescent="0.3">
      <c r="B106" s="152">
        <v>202540</v>
      </c>
      <c r="C106" s="3" t="s">
        <v>916</v>
      </c>
      <c r="D106" s="168">
        <v>6720.48</v>
      </c>
      <c r="E106" s="73">
        <v>147</v>
      </c>
      <c r="F106" s="73">
        <v>63</v>
      </c>
      <c r="G106" s="131"/>
    </row>
    <row r="107" spans="2:7" x14ac:dyDescent="0.3">
      <c r="B107" s="152">
        <v>202541</v>
      </c>
      <c r="C107" s="3" t="s">
        <v>917</v>
      </c>
      <c r="D107" s="168">
        <v>7077.06</v>
      </c>
      <c r="E107" s="73">
        <v>143</v>
      </c>
      <c r="F107" s="73">
        <v>77</v>
      </c>
      <c r="G107" s="131"/>
    </row>
    <row r="108" spans="2:7" x14ac:dyDescent="0.3">
      <c r="B108" s="152">
        <v>202542</v>
      </c>
      <c r="C108" s="3" t="s">
        <v>918</v>
      </c>
      <c r="D108" s="168">
        <v>8357.43</v>
      </c>
      <c r="E108" s="73">
        <v>170</v>
      </c>
      <c r="F108" s="73">
        <v>88</v>
      </c>
      <c r="G108" s="131"/>
    </row>
    <row r="109" spans="2:7" x14ac:dyDescent="0.3">
      <c r="B109" s="152">
        <v>202543</v>
      </c>
      <c r="C109" s="3" t="s">
        <v>919</v>
      </c>
      <c r="D109" s="168">
        <v>6757.54</v>
      </c>
      <c r="E109" s="73">
        <v>130</v>
      </c>
      <c r="F109" s="73">
        <v>66</v>
      </c>
      <c r="G109" s="131"/>
    </row>
    <row r="110" spans="2:7" x14ac:dyDescent="0.3">
      <c r="B110" s="152">
        <v>202544</v>
      </c>
      <c r="C110" s="3" t="s">
        <v>920</v>
      </c>
      <c r="D110" s="168">
        <v>8365.11</v>
      </c>
      <c r="E110" s="73">
        <v>175</v>
      </c>
      <c r="F110" s="73">
        <v>78</v>
      </c>
      <c r="G110" s="131"/>
    </row>
    <row r="111" spans="2:7" x14ac:dyDescent="0.3">
      <c r="B111" s="152">
        <v>202545</v>
      </c>
      <c r="C111" s="3" t="s">
        <v>921</v>
      </c>
      <c r="D111" s="168">
        <v>7702.92</v>
      </c>
      <c r="E111" s="73">
        <v>154</v>
      </c>
      <c r="F111" s="73">
        <v>79</v>
      </c>
      <c r="G111" s="131"/>
    </row>
    <row r="112" spans="2:7" x14ac:dyDescent="0.3">
      <c r="B112" s="152">
        <v>202546</v>
      </c>
      <c r="C112" s="3" t="s">
        <v>922</v>
      </c>
      <c r="D112" s="168">
        <v>7361.86</v>
      </c>
      <c r="E112" s="73">
        <v>161</v>
      </c>
      <c r="F112" s="73">
        <v>73</v>
      </c>
      <c r="G112" s="131"/>
    </row>
    <row r="113" spans="2:7" x14ac:dyDescent="0.3">
      <c r="B113" s="152">
        <v>202547</v>
      </c>
      <c r="C113" s="3" t="s">
        <v>923</v>
      </c>
      <c r="D113" s="168">
        <v>17669.04</v>
      </c>
      <c r="E113" s="73">
        <v>360</v>
      </c>
      <c r="F113" s="73">
        <v>141</v>
      </c>
      <c r="G113" s="131"/>
    </row>
    <row r="114" spans="2:7" x14ac:dyDescent="0.3">
      <c r="B114" s="152">
        <v>202548</v>
      </c>
      <c r="C114" s="3" t="s">
        <v>924</v>
      </c>
      <c r="D114" s="168">
        <v>12548.75</v>
      </c>
      <c r="E114" s="73">
        <v>267</v>
      </c>
      <c r="F114" s="73">
        <v>117</v>
      </c>
      <c r="G114" s="131"/>
    </row>
    <row r="115" spans="2:7" x14ac:dyDescent="0.3">
      <c r="B115" s="152">
        <v>202549</v>
      </c>
      <c r="C115" s="3" t="s">
        <v>925</v>
      </c>
      <c r="D115" s="168">
        <v>6785.01</v>
      </c>
      <c r="E115" s="73">
        <v>140</v>
      </c>
      <c r="F115" s="73">
        <v>75</v>
      </c>
      <c r="G115" s="131"/>
    </row>
    <row r="116" spans="2:7" x14ac:dyDescent="0.3">
      <c r="B116" s="152">
        <v>202550</v>
      </c>
      <c r="C116" s="3" t="s">
        <v>926</v>
      </c>
      <c r="D116" s="168">
        <v>9285.59</v>
      </c>
      <c r="E116" s="73">
        <v>198</v>
      </c>
      <c r="F116" s="73">
        <v>91</v>
      </c>
      <c r="G116" s="131"/>
    </row>
    <row r="117" spans="2:7" x14ac:dyDescent="0.3">
      <c r="B117" s="152">
        <v>202551</v>
      </c>
      <c r="C117" s="3" t="s">
        <v>927</v>
      </c>
      <c r="D117" s="168">
        <v>12181.97</v>
      </c>
      <c r="E117" s="73">
        <v>349</v>
      </c>
      <c r="F117" s="73">
        <v>164</v>
      </c>
      <c r="G117" s="131"/>
    </row>
    <row r="118" spans="2:7" x14ac:dyDescent="0.3">
      <c r="B118" s="152">
        <v>202552</v>
      </c>
      <c r="C118" s="3" t="s">
        <v>928</v>
      </c>
      <c r="D118" s="168">
        <v>13027.42</v>
      </c>
      <c r="E118" s="73">
        <v>346</v>
      </c>
      <c r="F118" s="73">
        <v>147</v>
      </c>
      <c r="G118" s="131"/>
    </row>
    <row r="119" spans="2:7" x14ac:dyDescent="0.3">
      <c r="B119" s="152">
        <v>202601</v>
      </c>
      <c r="C119" s="3" t="s">
        <v>929</v>
      </c>
      <c r="D119" s="168">
        <v>12120.25</v>
      </c>
      <c r="E119" s="73">
        <v>357</v>
      </c>
      <c r="F119" s="73">
        <v>164</v>
      </c>
      <c r="G119" s="131"/>
    </row>
    <row r="120" spans="2:7" x14ac:dyDescent="0.3">
      <c r="B120" s="152">
        <v>202602</v>
      </c>
      <c r="C120" s="3" t="s">
        <v>930</v>
      </c>
      <c r="D120" s="168">
        <v>12901.29</v>
      </c>
      <c r="E120" s="73">
        <v>395</v>
      </c>
      <c r="F120" s="73">
        <v>184</v>
      </c>
      <c r="G120" s="131"/>
    </row>
    <row r="121" spans="2:7" x14ac:dyDescent="0.3">
      <c r="B121" s="152">
        <v>202603</v>
      </c>
      <c r="C121" s="3" t="s">
        <v>931</v>
      </c>
      <c r="D121" s="168">
        <v>12175.92</v>
      </c>
      <c r="E121" s="73">
        <v>322</v>
      </c>
      <c r="F121" s="73">
        <v>164</v>
      </c>
      <c r="G121" s="131"/>
    </row>
    <row r="122" spans="2:7" x14ac:dyDescent="0.3">
      <c r="B122" s="152">
        <v>202604</v>
      </c>
      <c r="C122" s="3" t="s">
        <v>932</v>
      </c>
      <c r="D122" s="168">
        <v>13107.97</v>
      </c>
      <c r="E122" s="73">
        <v>348</v>
      </c>
      <c r="F122" s="73">
        <v>149</v>
      </c>
      <c r="G122" s="131"/>
    </row>
    <row r="123" spans="2:7" x14ac:dyDescent="0.3">
      <c r="B123" s="152">
        <v>202605</v>
      </c>
      <c r="C123" s="3" t="s">
        <v>933</v>
      </c>
      <c r="D123" s="168">
        <v>9794.86</v>
      </c>
      <c r="E123" s="73">
        <v>290</v>
      </c>
      <c r="F123" s="73">
        <v>142</v>
      </c>
      <c r="G123" s="131"/>
    </row>
    <row r="124" spans="2:7" x14ac:dyDescent="0.3">
      <c r="B124" s="152">
        <v>202606</v>
      </c>
      <c r="C124" s="3" t="s">
        <v>934</v>
      </c>
      <c r="D124" s="168">
        <v>11715.5</v>
      </c>
      <c r="E124" s="73">
        <v>366</v>
      </c>
      <c r="F124" s="73">
        <v>148</v>
      </c>
      <c r="G124" s="131"/>
    </row>
    <row r="125" spans="2:7" x14ac:dyDescent="0.3">
      <c r="B125" s="152">
        <v>202607</v>
      </c>
      <c r="C125" s="3" t="s">
        <v>935</v>
      </c>
      <c r="D125" s="168">
        <v>14150.57</v>
      </c>
      <c r="E125" s="73">
        <v>500</v>
      </c>
      <c r="F125" s="73">
        <v>153</v>
      </c>
      <c r="G125" s="131"/>
    </row>
    <row r="126" spans="2:7" x14ac:dyDescent="0.3">
      <c r="B126" s="152">
        <v>202608</v>
      </c>
      <c r="C126" s="3" t="s">
        <v>936</v>
      </c>
      <c r="D126" s="168">
        <v>12035.4</v>
      </c>
      <c r="E126" s="73">
        <v>509</v>
      </c>
      <c r="F126" s="73">
        <v>167</v>
      </c>
      <c r="G126" s="131"/>
    </row>
    <row r="127" spans="2:7" x14ac:dyDescent="0.3">
      <c r="B127" s="152">
        <v>202609</v>
      </c>
      <c r="C127" s="3" t="s">
        <v>937</v>
      </c>
      <c r="D127" s="168">
        <v>20613.2</v>
      </c>
      <c r="E127" s="73">
        <v>638</v>
      </c>
      <c r="F127" s="73">
        <v>209</v>
      </c>
      <c r="G127" s="131"/>
    </row>
    <row r="128" spans="2:7" x14ac:dyDescent="0.3">
      <c r="B128" s="152">
        <v>202610</v>
      </c>
      <c r="C128" s="3" t="s">
        <v>938</v>
      </c>
      <c r="D128" s="168">
        <v>10403.77</v>
      </c>
      <c r="E128" s="73">
        <v>285</v>
      </c>
      <c r="F128" s="73">
        <v>125</v>
      </c>
      <c r="G128" s="131"/>
    </row>
    <row r="129" spans="2:7" x14ac:dyDescent="0.3">
      <c r="B129" s="152">
        <v>202611</v>
      </c>
      <c r="C129" s="3" t="s">
        <v>939</v>
      </c>
      <c r="D129" s="168">
        <v>12832.28</v>
      </c>
      <c r="E129" s="73">
        <v>501</v>
      </c>
      <c r="F129" s="73">
        <v>144</v>
      </c>
      <c r="G129" s="131"/>
    </row>
    <row r="130" spans="2:7" x14ac:dyDescent="0.3">
      <c r="B130" s="152">
        <v>202612</v>
      </c>
      <c r="C130" s="3" t="s">
        <v>940</v>
      </c>
      <c r="D130" s="168">
        <v>12538.08</v>
      </c>
      <c r="E130" s="73">
        <v>589</v>
      </c>
      <c r="F130" s="73">
        <v>158</v>
      </c>
      <c r="G130" s="131"/>
    </row>
    <row r="131" spans="2:7" x14ac:dyDescent="0.3">
      <c r="B131" s="152">
        <v>202613</v>
      </c>
      <c r="C131" s="3" t="s">
        <v>941</v>
      </c>
      <c r="D131" s="168">
        <v>13629.15</v>
      </c>
      <c r="E131" s="73">
        <v>439</v>
      </c>
      <c r="F131" s="73">
        <v>135</v>
      </c>
      <c r="G131" s="131"/>
    </row>
    <row r="132" spans="2:7" x14ac:dyDescent="0.3">
      <c r="B132" s="152">
        <v>202614</v>
      </c>
      <c r="C132" s="3" t="s">
        <v>942</v>
      </c>
      <c r="D132" s="168">
        <v>9653.42</v>
      </c>
      <c r="E132" s="73">
        <v>402</v>
      </c>
      <c r="F132" s="73">
        <v>121</v>
      </c>
      <c r="G132" s="131"/>
    </row>
    <row r="133" spans="2:7" x14ac:dyDescent="0.3">
      <c r="B133" s="152">
        <v>202615</v>
      </c>
      <c r="C133" s="3" t="s">
        <v>943</v>
      </c>
      <c r="D133" s="168">
        <v>10778.66</v>
      </c>
      <c r="E133" s="73">
        <v>433</v>
      </c>
      <c r="F133" s="73">
        <v>131</v>
      </c>
      <c r="G133" s="131"/>
    </row>
    <row r="134" spans="2:7" x14ac:dyDescent="0.3">
      <c r="B134" s="152">
        <v>202616</v>
      </c>
      <c r="C134" s="3" t="s">
        <v>944</v>
      </c>
      <c r="D134" s="168">
        <v>10005.92</v>
      </c>
      <c r="E134" s="73">
        <v>377</v>
      </c>
      <c r="F134" s="73">
        <v>108</v>
      </c>
      <c r="G134" s="131"/>
    </row>
    <row r="135" spans="2:7" x14ac:dyDescent="0.3">
      <c r="B135" s="152">
        <v>202617</v>
      </c>
      <c r="C135" s="3" t="s">
        <v>945</v>
      </c>
      <c r="D135" s="168">
        <v>8406.64</v>
      </c>
      <c r="E135" s="73">
        <v>299</v>
      </c>
      <c r="F135" s="73">
        <v>98</v>
      </c>
      <c r="G135" s="131"/>
    </row>
    <row r="136" spans="2:7" x14ac:dyDescent="0.3">
      <c r="B136" s="152">
        <v>202618</v>
      </c>
      <c r="C136" s="3" t="s">
        <v>946</v>
      </c>
      <c r="D136" s="168">
        <v>8990.9</v>
      </c>
      <c r="E136" s="73">
        <v>249</v>
      </c>
      <c r="F136" s="73">
        <v>93</v>
      </c>
      <c r="G136" s="131"/>
    </row>
    <row r="137" spans="2:7" x14ac:dyDescent="0.3">
      <c r="B137" s="152">
        <v>202619</v>
      </c>
      <c r="C137" s="3" t="s">
        <v>947</v>
      </c>
      <c r="D137" s="168">
        <v>7050.86</v>
      </c>
      <c r="E137" s="73">
        <v>235</v>
      </c>
      <c r="F137" s="73">
        <v>100</v>
      </c>
      <c r="G137" s="131"/>
    </row>
    <row r="138" spans="2:7" x14ac:dyDescent="0.3">
      <c r="B138" s="152">
        <v>202620</v>
      </c>
      <c r="C138" s="3" t="s">
        <v>948</v>
      </c>
      <c r="D138" s="168">
        <v>10278.81</v>
      </c>
      <c r="E138" s="73">
        <v>345</v>
      </c>
      <c r="F138" s="73">
        <v>118</v>
      </c>
      <c r="G138" s="131"/>
    </row>
    <row r="139" spans="2:7" x14ac:dyDescent="0.3">
      <c r="B139" s="152">
        <v>202621</v>
      </c>
      <c r="C139" s="3" t="s">
        <v>949</v>
      </c>
      <c r="D139" s="168">
        <v>9733.34</v>
      </c>
      <c r="E139" s="73">
        <v>328</v>
      </c>
      <c r="F139" s="73">
        <v>105</v>
      </c>
      <c r="G139" s="131"/>
    </row>
    <row r="140" spans="2:7" x14ac:dyDescent="0.3">
      <c r="B140" s="152">
        <v>202622</v>
      </c>
      <c r="C140" s="3" t="s">
        <v>950</v>
      </c>
      <c r="D140" s="168">
        <v>7403.44</v>
      </c>
      <c r="E140" s="73">
        <v>246</v>
      </c>
      <c r="F140" s="73">
        <v>90</v>
      </c>
      <c r="G140" s="131"/>
    </row>
    <row r="141" spans="2:7" x14ac:dyDescent="0.3">
      <c r="B141" s="152">
        <v>202623</v>
      </c>
      <c r="C141" s="3" t="s">
        <v>951</v>
      </c>
      <c r="D141" s="168">
        <v>6742.83</v>
      </c>
      <c r="E141" s="73">
        <v>238</v>
      </c>
      <c r="F141" s="73">
        <v>82</v>
      </c>
      <c r="G141" s="131"/>
    </row>
    <row r="142" spans="2:7" x14ac:dyDescent="0.3">
      <c r="B142" s="152">
        <v>202624</v>
      </c>
      <c r="C142" s="3" t="s">
        <v>952</v>
      </c>
      <c r="D142" s="168">
        <v>7502.96</v>
      </c>
      <c r="E142" s="73">
        <v>281</v>
      </c>
      <c r="F142" s="73">
        <v>95</v>
      </c>
      <c r="G142" s="131"/>
    </row>
    <row r="143" spans="2:7" x14ac:dyDescent="0.3">
      <c r="B143" s="152">
        <v>202625</v>
      </c>
      <c r="C143" s="3" t="s">
        <v>953</v>
      </c>
      <c r="D143" s="168">
        <v>8693.0400000000009</v>
      </c>
      <c r="E143" s="73">
        <v>272</v>
      </c>
      <c r="F143" s="73">
        <v>95</v>
      </c>
      <c r="G143" s="131"/>
    </row>
    <row r="144" spans="2:7" x14ac:dyDescent="0.3">
      <c r="B144" s="152">
        <v>202626</v>
      </c>
      <c r="C144" s="3" t="s">
        <v>954</v>
      </c>
      <c r="D144" s="168">
        <v>7949.5</v>
      </c>
      <c r="E144" s="73">
        <v>248</v>
      </c>
      <c r="F144" s="73">
        <v>98</v>
      </c>
      <c r="G144" s="131"/>
    </row>
    <row r="145" spans="2:7" x14ac:dyDescent="0.3">
      <c r="B145" s="152">
        <v>202627</v>
      </c>
      <c r="C145" s="3" t="s">
        <v>955</v>
      </c>
      <c r="D145" s="168">
        <v>8474.84</v>
      </c>
      <c r="E145" s="73">
        <v>248</v>
      </c>
      <c r="F145" s="73">
        <v>96</v>
      </c>
      <c r="G145" s="131"/>
    </row>
    <row r="146" spans="2:7" x14ac:dyDescent="0.3">
      <c r="B146" s="152">
        <v>202628</v>
      </c>
      <c r="C146" s="3" t="s">
        <v>956</v>
      </c>
      <c r="D146" s="168">
        <v>10325.049999999999</v>
      </c>
      <c r="E146" s="73">
        <v>323</v>
      </c>
      <c r="F146" s="73">
        <v>117</v>
      </c>
      <c r="G146" s="131"/>
    </row>
    <row r="147" spans="2:7" x14ac:dyDescent="0.3">
      <c r="B147" s="152">
        <v>202629</v>
      </c>
      <c r="C147" s="3" t="s">
        <v>957</v>
      </c>
      <c r="D147" s="168">
        <v>10906</v>
      </c>
      <c r="E147" s="73">
        <v>333</v>
      </c>
      <c r="F147" s="73">
        <v>125</v>
      </c>
      <c r="G147" s="131"/>
    </row>
  </sheetData>
  <mergeCells count="3">
    <mergeCell ref="B9:J9"/>
    <mergeCell ref="B18:J18"/>
    <mergeCell ref="B25:J25"/>
  </mergeCells>
  <hyperlinks>
    <hyperlink ref="A1" location="'0. HUB'!A1" display="◀ HUB" xr:uid="{00000000-0004-0000-0B00-000000000000}"/>
  </hyperlink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8F00"/>
  </sheetPr>
  <dimension ref="A1:I16"/>
  <sheetViews>
    <sheetView showGridLines="0" zoomScaleNormal="100" workbookViewId="0"/>
  </sheetViews>
  <sheetFormatPr baseColWidth="10" defaultColWidth="8.6640625" defaultRowHeight="14.4" x14ac:dyDescent="0.3"/>
  <cols>
    <col min="1" max="1" width="40.77734375" customWidth="1"/>
    <col min="2" max="2" width="36.5546875" bestFit="1" customWidth="1"/>
    <col min="3" max="3" width="7.21875" bestFit="1" customWidth="1"/>
    <col min="4" max="4" width="11.33203125" bestFit="1" customWidth="1"/>
    <col min="5" max="5" width="11.44140625" bestFit="1" customWidth="1"/>
    <col min="6" max="6" width="10.44140625" bestFit="1" customWidth="1"/>
    <col min="7" max="7" width="13.88671875" bestFit="1" customWidth="1"/>
    <col min="8" max="8" width="15" bestFit="1" customWidth="1"/>
    <col min="9" max="9" width="40.77734375" customWidth="1"/>
  </cols>
  <sheetData>
    <row r="1" spans="1:9" ht="69.599999999999994" x14ac:dyDescent="0.3">
      <c r="A1" s="146" t="s">
        <v>958</v>
      </c>
      <c r="I1" s="131"/>
    </row>
    <row r="2" spans="1:9" ht="66.599999999999994" x14ac:dyDescent="0.3">
      <c r="A2" s="47" t="s">
        <v>959</v>
      </c>
      <c r="I2" s="131"/>
    </row>
    <row r="3" spans="1:9" x14ac:dyDescent="0.3">
      <c r="A3" s="147" t="s">
        <v>72</v>
      </c>
      <c r="I3" s="131"/>
    </row>
    <row r="4" spans="1:9" ht="26.4" x14ac:dyDescent="0.3">
      <c r="A4" s="10" t="s">
        <v>465</v>
      </c>
      <c r="B4" s="10" t="s">
        <v>466</v>
      </c>
      <c r="C4" s="10" t="s">
        <v>960</v>
      </c>
      <c r="D4" s="10" t="s">
        <v>961</v>
      </c>
      <c r="E4" s="10" t="s">
        <v>962</v>
      </c>
      <c r="F4" s="10" t="s">
        <v>963</v>
      </c>
      <c r="G4" s="10" t="s">
        <v>964</v>
      </c>
      <c r="H4" s="10" t="s">
        <v>965</v>
      </c>
      <c r="I4" s="10" t="s">
        <v>618</v>
      </c>
    </row>
    <row r="5" spans="1:9" x14ac:dyDescent="0.3">
      <c r="A5" s="104">
        <v>75214930</v>
      </c>
      <c r="B5" s="43" t="s">
        <v>966</v>
      </c>
      <c r="C5" s="35">
        <v>39</v>
      </c>
      <c r="D5" s="35">
        <v>896</v>
      </c>
      <c r="E5" s="74">
        <v>23</v>
      </c>
      <c r="F5" s="35">
        <v>0</v>
      </c>
      <c r="G5" s="35">
        <v>784</v>
      </c>
      <c r="H5" s="75">
        <f t="shared" ref="H5:H10" si="0">G5/D5</f>
        <v>0.875</v>
      </c>
      <c r="I5" s="153" t="s">
        <v>967</v>
      </c>
    </row>
    <row r="6" spans="1:9" x14ac:dyDescent="0.3">
      <c r="A6" s="104">
        <v>75437610</v>
      </c>
      <c r="B6" s="43" t="s">
        <v>968</v>
      </c>
      <c r="C6" s="35">
        <v>39</v>
      </c>
      <c r="D6" s="35">
        <v>752</v>
      </c>
      <c r="E6" s="74">
        <v>19.3</v>
      </c>
      <c r="F6" s="35">
        <v>0</v>
      </c>
      <c r="G6" s="35">
        <v>708</v>
      </c>
      <c r="H6" s="75">
        <f t="shared" si="0"/>
        <v>0.94148936170212771</v>
      </c>
      <c r="I6" s="153" t="s">
        <v>967</v>
      </c>
    </row>
    <row r="7" spans="1:9" x14ac:dyDescent="0.3">
      <c r="A7" s="57">
        <v>75437614</v>
      </c>
      <c r="B7" s="44" t="s">
        <v>969</v>
      </c>
      <c r="C7" s="71">
        <v>39</v>
      </c>
      <c r="D7" s="71">
        <v>690</v>
      </c>
      <c r="E7" s="76">
        <v>17.7</v>
      </c>
      <c r="F7" s="71">
        <v>1</v>
      </c>
      <c r="G7" s="71">
        <v>823</v>
      </c>
      <c r="H7" s="77">
        <f t="shared" si="0"/>
        <v>1.1927536231884057</v>
      </c>
      <c r="I7" s="154" t="s">
        <v>970</v>
      </c>
    </row>
    <row r="8" spans="1:9" x14ac:dyDescent="0.3">
      <c r="A8" s="103">
        <v>75437616</v>
      </c>
      <c r="B8" s="51" t="s">
        <v>971</v>
      </c>
      <c r="C8" s="59">
        <v>39</v>
      </c>
      <c r="D8" s="59">
        <v>561</v>
      </c>
      <c r="E8" s="78">
        <v>14.4</v>
      </c>
      <c r="F8" s="59">
        <v>1</v>
      </c>
      <c r="G8" s="59">
        <v>1174</v>
      </c>
      <c r="H8" s="79">
        <f t="shared" si="0"/>
        <v>2.0926916221033869</v>
      </c>
      <c r="I8" s="60" t="s">
        <v>972</v>
      </c>
    </row>
    <row r="9" spans="1:9" ht="27" x14ac:dyDescent="0.3">
      <c r="A9" s="103">
        <v>75437621</v>
      </c>
      <c r="B9" s="51" t="s">
        <v>973</v>
      </c>
      <c r="C9" s="59">
        <v>39</v>
      </c>
      <c r="D9" s="59">
        <v>645</v>
      </c>
      <c r="E9" s="78">
        <v>16.5</v>
      </c>
      <c r="F9" s="59">
        <v>2</v>
      </c>
      <c r="G9" s="59">
        <v>2617</v>
      </c>
      <c r="H9" s="79">
        <f t="shared" si="0"/>
        <v>4.0573643410852709</v>
      </c>
      <c r="I9" s="60" t="s">
        <v>974</v>
      </c>
    </row>
    <row r="10" spans="1:9" ht="40.200000000000003" x14ac:dyDescent="0.3">
      <c r="A10" s="104">
        <v>75437623</v>
      </c>
      <c r="B10" s="43" t="s">
        <v>975</v>
      </c>
      <c r="C10" s="35">
        <v>39</v>
      </c>
      <c r="D10" s="35">
        <v>624</v>
      </c>
      <c r="E10" s="74">
        <v>16</v>
      </c>
      <c r="F10" s="35">
        <v>6</v>
      </c>
      <c r="G10" s="35">
        <v>631</v>
      </c>
      <c r="H10" s="75">
        <f t="shared" si="0"/>
        <v>1.0112179487179487</v>
      </c>
      <c r="I10" s="153" t="s">
        <v>976</v>
      </c>
    </row>
    <row r="11" spans="1:9" x14ac:dyDescent="0.3">
      <c r="A11" s="131"/>
      <c r="I11" s="131"/>
    </row>
    <row r="12" spans="1:9" ht="119.4" x14ac:dyDescent="0.3">
      <c r="A12" s="47" t="s">
        <v>977</v>
      </c>
      <c r="I12" s="131"/>
    </row>
    <row r="13" spans="1:9" x14ac:dyDescent="0.3">
      <c r="A13" s="131"/>
      <c r="I13" s="131"/>
    </row>
    <row r="14" spans="1:9" ht="106.2" x14ac:dyDescent="0.3">
      <c r="A14" s="47" t="s">
        <v>978</v>
      </c>
      <c r="I14" s="131"/>
    </row>
    <row r="15" spans="1:9" x14ac:dyDescent="0.3">
      <c r="A15" s="131"/>
      <c r="I15" s="131"/>
    </row>
    <row r="16" spans="1:9" ht="106.2" x14ac:dyDescent="0.3">
      <c r="A16" s="47" t="s">
        <v>979</v>
      </c>
      <c r="I16" s="131"/>
    </row>
  </sheetData>
  <hyperlinks>
    <hyperlink ref="A3" location="'0. HUB'!A1" display="◀ HUB" xr:uid="{00000000-0004-0000-0C00-000000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8F00"/>
  </sheetPr>
  <dimension ref="A1:Q25"/>
  <sheetViews>
    <sheetView showGridLines="0" zoomScaleNormal="100" workbookViewId="0">
      <pane xSplit="2" ySplit="5" topLeftCell="K6" activePane="bottomRight" state="frozen"/>
      <selection pane="topRight" activeCell="C1" sqref="C1"/>
      <selection pane="bottomLeft" activeCell="A6" sqref="A6"/>
      <selection pane="bottomRight" activeCell="O6" sqref="O6:O15"/>
    </sheetView>
  </sheetViews>
  <sheetFormatPr baseColWidth="10" defaultColWidth="8.6640625" defaultRowHeight="14.4" x14ac:dyDescent="0.3"/>
  <cols>
    <col min="1" max="2" width="40.77734375" customWidth="1"/>
    <col min="3" max="3" width="15" bestFit="1" customWidth="1"/>
    <col min="4" max="4" width="10.109375" bestFit="1" customWidth="1"/>
    <col min="5" max="5" width="7.77734375" bestFit="1" customWidth="1"/>
    <col min="6" max="6" width="9" bestFit="1" customWidth="1"/>
    <col min="7" max="7" width="10.88671875" bestFit="1" customWidth="1"/>
    <col min="8" max="8" width="11.6640625" bestFit="1" customWidth="1"/>
    <col min="9" max="9" width="10.44140625" bestFit="1" customWidth="1"/>
    <col min="10" max="10" width="12.33203125" bestFit="1" customWidth="1"/>
    <col min="11" max="11" width="10.77734375" bestFit="1" customWidth="1"/>
    <col min="12" max="12" width="10.5546875" bestFit="1" customWidth="1"/>
    <col min="13" max="13" width="11.33203125" bestFit="1" customWidth="1"/>
    <col min="14" max="14" width="6.88671875" bestFit="1" customWidth="1"/>
    <col min="15" max="15" width="14" bestFit="1" customWidth="1"/>
    <col min="16" max="16" width="12.33203125" bestFit="1" customWidth="1"/>
    <col min="17" max="17" width="21" bestFit="1" customWidth="1"/>
  </cols>
  <sheetData>
    <row r="1" spans="1:17" ht="34.799999999999997" x14ac:dyDescent="0.3">
      <c r="A1" s="146" t="s">
        <v>980</v>
      </c>
      <c r="B1" s="131"/>
    </row>
    <row r="2" spans="1:17" ht="40.200000000000003" x14ac:dyDescent="0.3">
      <c r="A2" s="47" t="s">
        <v>981</v>
      </c>
      <c r="B2" s="131"/>
    </row>
    <row r="3" spans="1:17" ht="40.200000000000003" x14ac:dyDescent="0.3">
      <c r="A3" s="47" t="s">
        <v>982</v>
      </c>
      <c r="B3" s="131"/>
    </row>
    <row r="4" spans="1:17" x14ac:dyDescent="0.3">
      <c r="A4" s="147" t="s">
        <v>72</v>
      </c>
      <c r="B4" s="131"/>
    </row>
    <row r="5" spans="1:17" ht="26.4" x14ac:dyDescent="0.3">
      <c r="A5" s="10" t="s">
        <v>465</v>
      </c>
      <c r="B5" s="10" t="s">
        <v>983</v>
      </c>
      <c r="C5" s="10" t="s">
        <v>467</v>
      </c>
      <c r="D5" s="10" t="s">
        <v>984</v>
      </c>
      <c r="E5" s="10" t="s">
        <v>820</v>
      </c>
      <c r="F5" s="10" t="s">
        <v>985</v>
      </c>
      <c r="G5" s="10" t="s">
        <v>986</v>
      </c>
      <c r="H5" s="10" t="s">
        <v>987</v>
      </c>
      <c r="I5" s="10" t="s">
        <v>591</v>
      </c>
      <c r="J5" s="10" t="s">
        <v>988</v>
      </c>
      <c r="K5" s="10" t="s">
        <v>989</v>
      </c>
      <c r="L5" s="10" t="s">
        <v>990</v>
      </c>
      <c r="M5" s="10" t="s">
        <v>991</v>
      </c>
      <c r="N5" s="10" t="s">
        <v>992</v>
      </c>
      <c r="O5" s="10" t="s">
        <v>993</v>
      </c>
      <c r="P5" s="10" t="s">
        <v>994</v>
      </c>
      <c r="Q5" s="10" t="s">
        <v>270</v>
      </c>
    </row>
    <row r="6" spans="1:17" x14ac:dyDescent="0.3">
      <c r="A6" s="16">
        <v>75437623</v>
      </c>
      <c r="B6" s="16" t="s">
        <v>672</v>
      </c>
      <c r="C6" s="17" t="s">
        <v>470</v>
      </c>
      <c r="D6" s="29" t="s">
        <v>129</v>
      </c>
      <c r="E6" s="34">
        <v>40</v>
      </c>
      <c r="F6" s="34">
        <v>703</v>
      </c>
      <c r="G6" s="80">
        <v>2.94</v>
      </c>
      <c r="H6" s="55">
        <f>E6*G6*Resumen!$D$9</f>
        <v>82.32</v>
      </c>
      <c r="I6" s="81">
        <f t="shared" ref="I6:I18" si="0">IFERROR(F6/H6,0)</f>
        <v>8.5398445092322657</v>
      </c>
      <c r="J6" s="34">
        <f>H6*Resumen!$D$8*(1+Resumen!$D$10)</f>
        <v>1712.2559999999999</v>
      </c>
      <c r="K6" s="34">
        <f>H6*Resumen!$D$11</f>
        <v>164.64</v>
      </c>
      <c r="L6" s="34">
        <f t="shared" ref="L6:L18" si="1">J6+K6</f>
        <v>1876.8959999999997</v>
      </c>
      <c r="M6" s="34">
        <f t="shared" ref="M6:M18" si="2">ROUND(MAX(0,L6-F6),0)</f>
        <v>1174</v>
      </c>
      <c r="N6" s="82">
        <v>32.85</v>
      </c>
      <c r="O6" s="30">
        <f t="shared" ref="O6:O18" si="3">M6*N6</f>
        <v>38565.9</v>
      </c>
      <c r="P6" s="30">
        <v>2755</v>
      </c>
      <c r="Q6" s="33" t="str">
        <f>IF(H6=0,"SIN TASA — no vendió",IF(I6&gt;Resumen!$D$8,"SOBRE-STOCK",IF(I6&lt;4,"REPONER YA","OK")))</f>
        <v>OK</v>
      </c>
    </row>
    <row r="7" spans="1:17" x14ac:dyDescent="0.3">
      <c r="A7" s="16">
        <v>75437616</v>
      </c>
      <c r="B7" s="16" t="s">
        <v>665</v>
      </c>
      <c r="C7" s="17" t="s">
        <v>470</v>
      </c>
      <c r="D7" s="29" t="s">
        <v>129</v>
      </c>
      <c r="E7" s="34">
        <v>40</v>
      </c>
      <c r="F7" s="34">
        <v>1186</v>
      </c>
      <c r="G7" s="80">
        <v>3</v>
      </c>
      <c r="H7" s="55">
        <f>E7*G7*Resumen!$D$9</f>
        <v>84</v>
      </c>
      <c r="I7" s="81">
        <f t="shared" si="0"/>
        <v>14.119047619047619</v>
      </c>
      <c r="J7" s="34">
        <f>H7*Resumen!$D$8*(1+Resumen!$D$10)</f>
        <v>1747.2</v>
      </c>
      <c r="K7" s="34">
        <f>H7*Resumen!$D$11</f>
        <v>168</v>
      </c>
      <c r="L7" s="34">
        <f t="shared" si="1"/>
        <v>1915.2</v>
      </c>
      <c r="M7" s="34">
        <f t="shared" si="2"/>
        <v>729</v>
      </c>
      <c r="N7" s="82">
        <v>22</v>
      </c>
      <c r="O7" s="30">
        <f t="shared" si="3"/>
        <v>16038</v>
      </c>
      <c r="P7" s="30">
        <v>2743</v>
      </c>
      <c r="Q7" s="33" t="str">
        <f>IF(H7=0,"SIN TASA — no vendió",IF(I7&gt;Resumen!$D$8,"SOBRE-STOCK",IF(I7&lt;4,"REPONER YA","OK")))</f>
        <v>OK</v>
      </c>
    </row>
    <row r="8" spans="1:17" x14ac:dyDescent="0.3">
      <c r="A8" s="16">
        <v>75214930</v>
      </c>
      <c r="B8" s="16" t="s">
        <v>654</v>
      </c>
      <c r="C8" s="17" t="s">
        <v>470</v>
      </c>
      <c r="D8" s="29" t="s">
        <v>129</v>
      </c>
      <c r="E8" s="34">
        <v>40</v>
      </c>
      <c r="F8" s="34">
        <v>754</v>
      </c>
      <c r="G8" s="80">
        <v>2.25</v>
      </c>
      <c r="H8" s="55">
        <f>E8*G8*Resumen!$D$9</f>
        <v>62.999999999999993</v>
      </c>
      <c r="I8" s="81">
        <f t="shared" si="0"/>
        <v>11.96825396825397</v>
      </c>
      <c r="J8" s="34">
        <f>H8*Resumen!$D$8*(1+Resumen!$D$10)</f>
        <v>1310.3999999999999</v>
      </c>
      <c r="K8" s="34">
        <f>H8*Resumen!$D$11</f>
        <v>125.99999999999999</v>
      </c>
      <c r="L8" s="34">
        <f t="shared" si="1"/>
        <v>1436.3999999999999</v>
      </c>
      <c r="M8" s="34">
        <f t="shared" si="2"/>
        <v>682</v>
      </c>
      <c r="N8" s="82">
        <v>45.54</v>
      </c>
      <c r="O8" s="30">
        <f t="shared" si="3"/>
        <v>31058.28</v>
      </c>
      <c r="P8" s="30">
        <v>3881</v>
      </c>
      <c r="Q8" s="33" t="str">
        <f>IF(H8=0,"SIN TASA — no vendió",IF(I8&gt;Resumen!$D$8,"SOBRE-STOCK",IF(I8&lt;4,"REPONER YA","OK")))</f>
        <v>OK</v>
      </c>
    </row>
    <row r="9" spans="1:17" x14ac:dyDescent="0.3">
      <c r="A9" s="16">
        <v>75437614</v>
      </c>
      <c r="B9" s="16" t="s">
        <v>661</v>
      </c>
      <c r="C9" s="17" t="s">
        <v>470</v>
      </c>
      <c r="D9" s="29" t="s">
        <v>129</v>
      </c>
      <c r="E9" s="34">
        <v>40</v>
      </c>
      <c r="F9" s="34">
        <v>872</v>
      </c>
      <c r="G9" s="80">
        <v>2.36</v>
      </c>
      <c r="H9" s="55">
        <f>E9*G9*Resumen!$D$9</f>
        <v>66.079999999999984</v>
      </c>
      <c r="I9" s="81">
        <f t="shared" si="0"/>
        <v>13.196125907990318</v>
      </c>
      <c r="J9" s="34">
        <f>H9*Resumen!$D$8*(1+Resumen!$D$10)</f>
        <v>1374.4639999999997</v>
      </c>
      <c r="K9" s="34">
        <f>H9*Resumen!$D$11</f>
        <v>132.15999999999997</v>
      </c>
      <c r="L9" s="34">
        <f t="shared" si="1"/>
        <v>1506.6239999999998</v>
      </c>
      <c r="M9" s="34">
        <f t="shared" si="2"/>
        <v>635</v>
      </c>
      <c r="N9" s="82">
        <v>22</v>
      </c>
      <c r="O9" s="30">
        <f t="shared" si="3"/>
        <v>13970</v>
      </c>
      <c r="P9" s="30">
        <v>1823</v>
      </c>
      <c r="Q9" s="33" t="str">
        <f>IF(H9=0,"SIN TASA — no vendió",IF(I9&gt;Resumen!$D$8,"SOBRE-STOCK",IF(I9&lt;4,"REPONER YA","OK")))</f>
        <v>OK</v>
      </c>
    </row>
    <row r="10" spans="1:17" x14ac:dyDescent="0.3">
      <c r="A10" s="16">
        <v>75437610</v>
      </c>
      <c r="B10" s="16" t="s">
        <v>658</v>
      </c>
      <c r="C10" s="17" t="s">
        <v>470</v>
      </c>
      <c r="D10" s="29" t="s">
        <v>129</v>
      </c>
      <c r="E10" s="34">
        <v>40</v>
      </c>
      <c r="F10" s="34">
        <v>721</v>
      </c>
      <c r="G10" s="80">
        <v>1.86</v>
      </c>
      <c r="H10" s="55">
        <f>E10*G10*Resumen!$D$9</f>
        <v>52.08</v>
      </c>
      <c r="I10" s="81">
        <f t="shared" si="0"/>
        <v>13.844086021505376</v>
      </c>
      <c r="J10" s="34">
        <f>H10*Resumen!$D$8*(1+Resumen!$D$10)</f>
        <v>1083.2639999999999</v>
      </c>
      <c r="K10" s="34">
        <f>H10*Resumen!$D$11</f>
        <v>104.16</v>
      </c>
      <c r="L10" s="34">
        <f t="shared" si="1"/>
        <v>1187.424</v>
      </c>
      <c r="M10" s="34">
        <f t="shared" si="2"/>
        <v>466</v>
      </c>
      <c r="N10" s="82">
        <v>51</v>
      </c>
      <c r="O10" s="30">
        <f t="shared" si="3"/>
        <v>23766</v>
      </c>
      <c r="P10" s="30">
        <v>3681</v>
      </c>
      <c r="Q10" s="33" t="str">
        <f>IF(H10=0,"SIN TASA — no vendió",IF(I10&gt;Resumen!$D$8,"SOBRE-STOCK",IF(I10&lt;4,"REPONER YA","OK")))</f>
        <v>OK</v>
      </c>
    </row>
    <row r="11" spans="1:17" x14ac:dyDescent="0.3">
      <c r="A11" s="16">
        <v>75437621</v>
      </c>
      <c r="B11" s="16" t="s">
        <v>668</v>
      </c>
      <c r="C11" s="17" t="s">
        <v>470</v>
      </c>
      <c r="D11" s="29" t="s">
        <v>129</v>
      </c>
      <c r="E11" s="34">
        <v>40</v>
      </c>
      <c r="F11" s="34">
        <v>2675</v>
      </c>
      <c r="G11" s="80">
        <v>3.79</v>
      </c>
      <c r="H11" s="55">
        <f>E11*G11*Resumen!$D$9</f>
        <v>106.11999999999999</v>
      </c>
      <c r="I11" s="81">
        <f t="shared" si="0"/>
        <v>25.207312476441768</v>
      </c>
      <c r="J11" s="34">
        <f>H11*Resumen!$D$8*(1+Resumen!$D$10)</f>
        <v>2207.2959999999998</v>
      </c>
      <c r="K11" s="34">
        <f>H11*Resumen!$D$11</f>
        <v>212.23999999999998</v>
      </c>
      <c r="L11" s="34">
        <f t="shared" si="1"/>
        <v>2419.5359999999996</v>
      </c>
      <c r="M11" s="34">
        <f t="shared" si="2"/>
        <v>0</v>
      </c>
      <c r="N11" s="82">
        <v>18.25</v>
      </c>
      <c r="O11" s="30">
        <f t="shared" si="3"/>
        <v>0</v>
      </c>
      <c r="P11" s="30">
        <v>1166</v>
      </c>
      <c r="Q11" s="33" t="str">
        <f>IF(H11=0,"SIN TASA — no vendió",IF(I11&gt;Resumen!$D$8,"SOBRE-STOCK",IF(I11&lt;4,"REPONER YA","OK")))</f>
        <v>SOBRE-STOCK</v>
      </c>
    </row>
    <row r="12" spans="1:17" x14ac:dyDescent="0.3">
      <c r="A12" s="16">
        <v>75437615</v>
      </c>
      <c r="B12" s="16" t="s">
        <v>681</v>
      </c>
      <c r="C12" s="18" t="s">
        <v>477</v>
      </c>
      <c r="D12" s="44" t="s">
        <v>995</v>
      </c>
      <c r="E12" s="34">
        <v>29</v>
      </c>
      <c r="F12" s="34">
        <v>328</v>
      </c>
      <c r="G12" s="80">
        <v>4.4000000000000004</v>
      </c>
      <c r="H12" s="55">
        <f>E12*G12*Resumen!$D$9</f>
        <v>89.320000000000007</v>
      </c>
      <c r="I12" s="81">
        <f t="shared" si="0"/>
        <v>3.6721898790864307</v>
      </c>
      <c r="J12" s="34">
        <f>H12*Resumen!$D$8*(1+Resumen!$D$10)</f>
        <v>1857.8560000000002</v>
      </c>
      <c r="K12" s="34">
        <f>H12*Resumen!$D$11</f>
        <v>178.64000000000001</v>
      </c>
      <c r="L12" s="34">
        <f t="shared" si="1"/>
        <v>2036.4960000000003</v>
      </c>
      <c r="M12" s="34">
        <f t="shared" si="2"/>
        <v>1708</v>
      </c>
      <c r="N12" s="82">
        <v>16</v>
      </c>
      <c r="O12" s="30">
        <f t="shared" si="3"/>
        <v>27328</v>
      </c>
      <c r="P12" s="30">
        <v>1370</v>
      </c>
      <c r="Q12" s="33" t="str">
        <f>IF(H12=0,"SIN TASA — no vendió",IF(I12&gt;Resumen!$D$8,"SOBRE-STOCK",IF(I12&lt;4,"REPONER YA","OK")))</f>
        <v>REPONER YA</v>
      </c>
    </row>
    <row r="13" spans="1:17" x14ac:dyDescent="0.3">
      <c r="A13" s="16">
        <v>75437613</v>
      </c>
      <c r="B13" s="16" t="s">
        <v>678</v>
      </c>
      <c r="C13" s="18" t="s">
        <v>477</v>
      </c>
      <c r="D13" s="83" t="s">
        <v>996</v>
      </c>
      <c r="E13" s="34">
        <v>25</v>
      </c>
      <c r="F13" s="34">
        <v>379</v>
      </c>
      <c r="G13" s="80">
        <v>2.4</v>
      </c>
      <c r="H13" s="55">
        <f>E13*G13*Resumen!$D$9</f>
        <v>42</v>
      </c>
      <c r="I13" s="81">
        <f t="shared" si="0"/>
        <v>9.0238095238095237</v>
      </c>
      <c r="J13" s="34">
        <f>H13*Resumen!$D$8*(1+Resumen!$D$10)</f>
        <v>873.6</v>
      </c>
      <c r="K13" s="34">
        <f>H13*Resumen!$D$11</f>
        <v>84</v>
      </c>
      <c r="L13" s="34">
        <f t="shared" si="1"/>
        <v>957.6</v>
      </c>
      <c r="M13" s="34">
        <f t="shared" si="2"/>
        <v>579</v>
      </c>
      <c r="N13" s="82">
        <v>43.8</v>
      </c>
      <c r="O13" s="30">
        <f t="shared" si="3"/>
        <v>25360.199999999997</v>
      </c>
      <c r="P13" s="30">
        <v>2722</v>
      </c>
      <c r="Q13" s="33" t="str">
        <f>IF(H13=0,"SIN TASA — no vendió",IF(I13&gt;Resumen!$D$8,"SOBRE-STOCK",IF(I13&lt;4,"REPONER YA","OK")))</f>
        <v>OK</v>
      </c>
    </row>
    <row r="14" spans="1:17" x14ac:dyDescent="0.3">
      <c r="A14" s="16">
        <v>75437619</v>
      </c>
      <c r="B14" s="16" t="s">
        <v>690</v>
      </c>
      <c r="C14" s="18" t="s">
        <v>477</v>
      </c>
      <c r="D14" s="83" t="s">
        <v>996</v>
      </c>
      <c r="E14" s="34">
        <v>5</v>
      </c>
      <c r="F14" s="34">
        <v>49</v>
      </c>
      <c r="G14" s="80">
        <v>2</v>
      </c>
      <c r="H14" s="55">
        <f>E14*G14*Resumen!$D$9</f>
        <v>7</v>
      </c>
      <c r="I14" s="81">
        <f t="shared" si="0"/>
        <v>7</v>
      </c>
      <c r="J14" s="34">
        <f>H14*Resumen!$D$8*(1+Resumen!$D$10)</f>
        <v>145.6</v>
      </c>
      <c r="K14" s="34">
        <f>H14*Resumen!$D$11</f>
        <v>14</v>
      </c>
      <c r="L14" s="34">
        <f t="shared" si="1"/>
        <v>159.6</v>
      </c>
      <c r="M14" s="34">
        <f t="shared" si="2"/>
        <v>111</v>
      </c>
      <c r="N14" s="82">
        <v>18.25</v>
      </c>
      <c r="O14" s="30">
        <f t="shared" si="3"/>
        <v>2025.75</v>
      </c>
      <c r="P14" s="30">
        <v>95</v>
      </c>
      <c r="Q14" s="33" t="str">
        <f>IF(H14=0,"SIN TASA — no vendió",IF(I14&gt;Resumen!$D$8,"SOBRE-STOCK",IF(I14&lt;4,"REPONER YA","OK")))</f>
        <v>OK</v>
      </c>
    </row>
    <row r="15" spans="1:17" x14ac:dyDescent="0.3">
      <c r="A15" s="16">
        <v>75437617</v>
      </c>
      <c r="B15" s="16" t="s">
        <v>684</v>
      </c>
      <c r="C15" s="18" t="s">
        <v>477</v>
      </c>
      <c r="D15" s="83" t="s">
        <v>996</v>
      </c>
      <c r="E15" s="34">
        <v>10</v>
      </c>
      <c r="F15" s="34">
        <v>120</v>
      </c>
      <c r="G15" s="80">
        <v>1</v>
      </c>
      <c r="H15" s="55">
        <f>E15*G15*Resumen!$D$9</f>
        <v>7</v>
      </c>
      <c r="I15" s="81">
        <f t="shared" si="0"/>
        <v>17.142857142857142</v>
      </c>
      <c r="J15" s="34">
        <f>H15*Resumen!$D$8*(1+Resumen!$D$10)</f>
        <v>145.6</v>
      </c>
      <c r="K15" s="34">
        <f>H15*Resumen!$D$11</f>
        <v>14</v>
      </c>
      <c r="L15" s="34">
        <f t="shared" si="1"/>
        <v>159.6</v>
      </c>
      <c r="M15" s="34">
        <f t="shared" si="2"/>
        <v>40</v>
      </c>
      <c r="N15" s="82">
        <v>16</v>
      </c>
      <c r="O15" s="30">
        <f t="shared" si="3"/>
        <v>640</v>
      </c>
      <c r="P15" s="30">
        <v>145</v>
      </c>
      <c r="Q15" s="33" t="str">
        <f>IF(H15=0,"SIN TASA — no vendió",IF(I15&gt;Resumen!$D$8,"SOBRE-STOCK",IF(I15&lt;4,"REPONER YA","OK")))</f>
        <v>SOBRE-STOCK</v>
      </c>
    </row>
    <row r="16" spans="1:17" x14ac:dyDescent="0.3">
      <c r="A16" s="16">
        <v>75437612</v>
      </c>
      <c r="B16" s="16" t="s">
        <v>675</v>
      </c>
      <c r="C16" s="18" t="s">
        <v>477</v>
      </c>
      <c r="D16" s="83" t="s">
        <v>996</v>
      </c>
      <c r="E16" s="34">
        <v>30</v>
      </c>
      <c r="F16" s="34">
        <v>491</v>
      </c>
      <c r="G16" s="80">
        <v>1</v>
      </c>
      <c r="H16" s="55">
        <f>E16*G16*Resumen!$D$9</f>
        <v>21</v>
      </c>
      <c r="I16" s="81">
        <f t="shared" si="0"/>
        <v>23.38095238095238</v>
      </c>
      <c r="J16" s="34">
        <f>H16*Resumen!$D$8*(1+Resumen!$D$10)</f>
        <v>436.8</v>
      </c>
      <c r="K16" s="34">
        <f>H16*Resumen!$D$11</f>
        <v>42</v>
      </c>
      <c r="L16" s="34">
        <f t="shared" si="1"/>
        <v>478.8</v>
      </c>
      <c r="M16" s="34">
        <f t="shared" si="2"/>
        <v>0</v>
      </c>
      <c r="N16" s="82">
        <v>43.8</v>
      </c>
      <c r="O16" s="30">
        <f t="shared" si="3"/>
        <v>0</v>
      </c>
      <c r="P16" s="30">
        <v>1474</v>
      </c>
      <c r="Q16" s="33" t="str">
        <f>IF(H16=0,"SIN TASA — no vendió",IF(I16&gt;Resumen!$D$8,"SOBRE-STOCK",IF(I16&lt;4,"REPONER YA","OK")))</f>
        <v>SOBRE-STOCK</v>
      </c>
    </row>
    <row r="17" spans="1:17" x14ac:dyDescent="0.3">
      <c r="A17" s="16">
        <v>75437618</v>
      </c>
      <c r="B17" s="16" t="s">
        <v>687</v>
      </c>
      <c r="C17" s="18" t="s">
        <v>477</v>
      </c>
      <c r="D17" s="83" t="s">
        <v>996</v>
      </c>
      <c r="E17" s="34">
        <v>6</v>
      </c>
      <c r="F17" s="34">
        <v>76</v>
      </c>
      <c r="G17" s="80">
        <v>0</v>
      </c>
      <c r="H17" s="55">
        <f>E17*G17*Resumen!$D$9</f>
        <v>0</v>
      </c>
      <c r="I17" s="81">
        <f t="shared" si="0"/>
        <v>0</v>
      </c>
      <c r="J17" s="34">
        <f>H17*Resumen!$D$8*(1+Resumen!$D$10)</f>
        <v>0</v>
      </c>
      <c r="K17" s="34">
        <f>H17*Resumen!$D$11</f>
        <v>0</v>
      </c>
      <c r="L17" s="34">
        <f t="shared" si="1"/>
        <v>0</v>
      </c>
      <c r="M17" s="34">
        <f t="shared" si="2"/>
        <v>0</v>
      </c>
      <c r="N17" s="82">
        <v>18.25</v>
      </c>
      <c r="O17" s="30">
        <f t="shared" si="3"/>
        <v>0</v>
      </c>
      <c r="P17" s="30">
        <v>0</v>
      </c>
      <c r="Q17" s="33" t="str">
        <f>IF(H17=0,"SIN TASA — no vendió",IF(I17&gt;Resumen!$D$8,"SOBRE-STOCK",IF(I17&lt;4,"REPONER YA","OK")))</f>
        <v>SIN TASA — no vendió</v>
      </c>
    </row>
    <row r="18" spans="1:17" x14ac:dyDescent="0.3">
      <c r="A18" s="16">
        <v>75437620</v>
      </c>
      <c r="B18" s="16" t="s">
        <v>693</v>
      </c>
      <c r="C18" s="18" t="s">
        <v>477</v>
      </c>
      <c r="D18" s="83" t="s">
        <v>996</v>
      </c>
      <c r="E18" s="34">
        <v>8</v>
      </c>
      <c r="F18" s="34">
        <v>92</v>
      </c>
      <c r="G18" s="80">
        <v>0</v>
      </c>
      <c r="H18" s="55">
        <f>E18*G18*Resumen!$D$9</f>
        <v>0</v>
      </c>
      <c r="I18" s="81">
        <f t="shared" si="0"/>
        <v>0</v>
      </c>
      <c r="J18" s="34">
        <f>H18*Resumen!$D$8*(1+Resumen!$D$10)</f>
        <v>0</v>
      </c>
      <c r="K18" s="34">
        <f>H18*Resumen!$D$11</f>
        <v>0</v>
      </c>
      <c r="L18" s="34">
        <f t="shared" si="1"/>
        <v>0</v>
      </c>
      <c r="M18" s="34">
        <f t="shared" si="2"/>
        <v>0</v>
      </c>
      <c r="N18" s="82">
        <v>18.25</v>
      </c>
      <c r="O18" s="30">
        <f t="shared" si="3"/>
        <v>0</v>
      </c>
      <c r="P18" s="30">
        <v>0</v>
      </c>
      <c r="Q18" s="33" t="str">
        <f>IF(H18=0,"SIN TASA — no vendió",IF(I18&gt;Resumen!$D$8,"SOBRE-STOCK",IF(I18&lt;4,"REPONER YA","OK")))</f>
        <v>SIN TASA — no vendió</v>
      </c>
    </row>
    <row r="19" spans="1:17" ht="27" x14ac:dyDescent="0.3">
      <c r="A19" s="131"/>
      <c r="B19" s="68" t="s">
        <v>997</v>
      </c>
      <c r="F19" s="84">
        <f>F6+F7+F8+F9+F10+F11</f>
        <v>6911</v>
      </c>
      <c r="M19" s="84">
        <f>M6+M7+M8+M9+M10+M11</f>
        <v>3686</v>
      </c>
      <c r="O19" s="85">
        <f>O6+O7+O8+O9+O10+O11</f>
        <v>123398.18</v>
      </c>
      <c r="P19" s="85">
        <f>P6+P7+P8+P9+P10+P11</f>
        <v>16049</v>
      </c>
    </row>
    <row r="20" spans="1:17" ht="27" x14ac:dyDescent="0.3">
      <c r="A20" s="131"/>
      <c r="B20" s="68" t="s">
        <v>998</v>
      </c>
      <c r="F20" s="86">
        <f>F12+F13+F14+F15+F16+F17+F18</f>
        <v>1535</v>
      </c>
      <c r="M20" s="86">
        <f>M12+M13+M14+M15+M16+M17+M18</f>
        <v>2438</v>
      </c>
      <c r="O20" s="87">
        <f>O12+O13+O14+O15+O16+O17+O18</f>
        <v>55353.95</v>
      </c>
      <c r="P20" s="87">
        <f>P12+P13+P14+P15+P16+P17+P18</f>
        <v>5806</v>
      </c>
    </row>
    <row r="21" spans="1:17" x14ac:dyDescent="0.3">
      <c r="A21" s="131"/>
      <c r="B21" s="68" t="s">
        <v>999</v>
      </c>
      <c r="F21" s="49">
        <f>SUM(F6:F18)</f>
        <v>8446</v>
      </c>
      <c r="M21" s="49">
        <f>SUM(M6:M18)</f>
        <v>6124</v>
      </c>
      <c r="O21" s="46">
        <f>SUM(O6:O18)</f>
        <v>178752.13</v>
      </c>
      <c r="P21" s="46">
        <f>SUM(P6:P18)</f>
        <v>21855</v>
      </c>
    </row>
    <row r="22" spans="1:17" x14ac:dyDescent="0.3">
      <c r="A22" s="131"/>
      <c r="B22" s="131"/>
    </row>
    <row r="23" spans="1:17" ht="79.8" x14ac:dyDescent="0.3">
      <c r="A23" s="131"/>
      <c r="B23" s="47" t="s">
        <v>1000</v>
      </c>
    </row>
    <row r="24" spans="1:17" ht="53.4" x14ac:dyDescent="0.3">
      <c r="A24" s="131"/>
      <c r="B24" s="47" t="s">
        <v>1001</v>
      </c>
    </row>
    <row r="25" spans="1:17" ht="66.599999999999994" x14ac:dyDescent="0.3">
      <c r="A25" s="131"/>
      <c r="B25" s="47" t="s">
        <v>1002</v>
      </c>
    </row>
  </sheetData>
  <hyperlinks>
    <hyperlink ref="A4" location="'0. HUB'!A1" display="◀ HUB" xr:uid="{00000000-0004-0000-0D00-000000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8F00"/>
  </sheetPr>
  <dimension ref="A1:D36"/>
  <sheetViews>
    <sheetView showGridLines="0" topLeftCell="A23" zoomScaleNormal="100" workbookViewId="0"/>
  </sheetViews>
  <sheetFormatPr baseColWidth="10" defaultColWidth="8.6640625" defaultRowHeight="14.4" x14ac:dyDescent="0.3"/>
  <cols>
    <col min="1" max="2" width="40.77734375" customWidth="1"/>
    <col min="3" max="3" width="16.109375" bestFit="1" customWidth="1"/>
    <col min="4" max="4" width="40.77734375" customWidth="1"/>
  </cols>
  <sheetData>
    <row r="1" spans="1:4" ht="69.599999999999994" x14ac:dyDescent="0.3">
      <c r="A1" s="146" t="s">
        <v>1003</v>
      </c>
      <c r="B1" s="131"/>
      <c r="D1" s="131"/>
    </row>
    <row r="2" spans="1:4" ht="53.4" x14ac:dyDescent="0.3">
      <c r="A2" s="47" t="s">
        <v>1004</v>
      </c>
      <c r="B2" s="131"/>
      <c r="D2" s="131"/>
    </row>
    <row r="3" spans="1:4" x14ac:dyDescent="0.3">
      <c r="A3" s="147" t="s">
        <v>72</v>
      </c>
      <c r="B3" s="131"/>
      <c r="D3" s="131"/>
    </row>
    <row r="4" spans="1:4" x14ac:dyDescent="0.3">
      <c r="A4" s="68" t="s">
        <v>1005</v>
      </c>
      <c r="B4" s="131"/>
      <c r="D4" s="131"/>
    </row>
    <row r="5" spans="1:4" x14ac:dyDescent="0.3">
      <c r="A5" s="155" t="s">
        <v>1006</v>
      </c>
      <c r="B5" s="131"/>
      <c r="C5" s="88">
        <v>40</v>
      </c>
      <c r="D5" s="47"/>
    </row>
    <row r="6" spans="1:4" x14ac:dyDescent="0.3">
      <c r="A6" s="155" t="s">
        <v>1007</v>
      </c>
      <c r="B6" s="131"/>
      <c r="C6" s="88">
        <v>1</v>
      </c>
      <c r="D6" s="47" t="s">
        <v>1008</v>
      </c>
    </row>
    <row r="7" spans="1:4" x14ac:dyDescent="0.3">
      <c r="A7" s="155" t="s">
        <v>1009</v>
      </c>
      <c r="B7" s="131"/>
      <c r="C7" s="88">
        <v>200</v>
      </c>
      <c r="D7" s="47"/>
    </row>
    <row r="8" spans="1:4" x14ac:dyDescent="0.3">
      <c r="A8" s="156" t="s">
        <v>1010</v>
      </c>
      <c r="B8" s="158"/>
      <c r="C8" s="89">
        <v>14</v>
      </c>
      <c r="D8" s="157" t="s">
        <v>1011</v>
      </c>
    </row>
    <row r="9" spans="1:4" x14ac:dyDescent="0.3">
      <c r="A9" s="156" t="s">
        <v>1012</v>
      </c>
      <c r="B9" s="158"/>
      <c r="C9" s="89">
        <v>4</v>
      </c>
      <c r="D9" s="157"/>
    </row>
    <row r="10" spans="1:4" ht="27" x14ac:dyDescent="0.3">
      <c r="A10" s="155" t="s">
        <v>1013</v>
      </c>
      <c r="B10" s="131"/>
      <c r="C10" s="90">
        <v>20</v>
      </c>
      <c r="D10" s="47" t="s">
        <v>1014</v>
      </c>
    </row>
    <row r="11" spans="1:4" x14ac:dyDescent="0.3">
      <c r="A11" s="155" t="s">
        <v>1015</v>
      </c>
      <c r="B11" s="131"/>
      <c r="C11" s="88">
        <v>4</v>
      </c>
      <c r="D11" s="47"/>
    </row>
    <row r="12" spans="1:4" x14ac:dyDescent="0.3">
      <c r="A12" s="131"/>
      <c r="B12" s="131"/>
      <c r="D12" s="131"/>
    </row>
    <row r="13" spans="1:4" x14ac:dyDescent="0.3">
      <c r="A13" s="68" t="s">
        <v>1016</v>
      </c>
      <c r="B13" s="131"/>
      <c r="D13" s="131"/>
    </row>
    <row r="14" spans="1:4" x14ac:dyDescent="0.3">
      <c r="A14" s="155" t="s">
        <v>1017</v>
      </c>
      <c r="B14" s="131"/>
      <c r="C14" s="91">
        <f>C5*C6*20+C7</f>
        <v>1000</v>
      </c>
      <c r="D14" s="131"/>
    </row>
    <row r="15" spans="1:4" x14ac:dyDescent="0.3">
      <c r="A15" s="155" t="s">
        <v>1018</v>
      </c>
      <c r="B15" s="131"/>
      <c r="C15" s="91">
        <f>(C5*C6*20+C7)/20</f>
        <v>50</v>
      </c>
      <c r="D15" s="131"/>
    </row>
    <row r="16" spans="1:4" ht="27" x14ac:dyDescent="0.3">
      <c r="A16" s="155" t="s">
        <v>1019</v>
      </c>
      <c r="B16" s="131"/>
      <c r="C16" s="92">
        <f>(C5*C6*20+C7)/C5/C11</f>
        <v>6.25</v>
      </c>
      <c r="D16" s="131"/>
    </row>
    <row r="17" spans="1:4" ht="27" x14ac:dyDescent="0.3">
      <c r="A17" s="155" t="s">
        <v>1020</v>
      </c>
      <c r="B17" s="131"/>
      <c r="C17" s="92">
        <v>4.4000000000000004</v>
      </c>
      <c r="D17" s="131"/>
    </row>
    <row r="18" spans="1:4" ht="28.8" x14ac:dyDescent="0.3">
      <c r="A18" s="156" t="s">
        <v>1021</v>
      </c>
      <c r="B18" s="158"/>
      <c r="C18" s="93">
        <v>0</v>
      </c>
      <c r="D18" s="158" t="s">
        <v>1022</v>
      </c>
    </row>
    <row r="19" spans="1:4" x14ac:dyDescent="0.3">
      <c r="A19" s="155" t="s">
        <v>1023</v>
      </c>
      <c r="B19" s="131"/>
      <c r="C19" s="94">
        <f>(C5*C6*20+C7)*C10</f>
        <v>20000</v>
      </c>
      <c r="D19" s="131"/>
    </row>
    <row r="20" spans="1:4" x14ac:dyDescent="0.3">
      <c r="A20" s="131"/>
      <c r="B20" s="131"/>
      <c r="D20" s="131"/>
    </row>
    <row r="21" spans="1:4" x14ac:dyDescent="0.3">
      <c r="A21" s="68" t="s">
        <v>1024</v>
      </c>
      <c r="B21" s="131"/>
      <c r="D21" s="131"/>
    </row>
    <row r="22" spans="1:4" ht="26.4" x14ac:dyDescent="0.3">
      <c r="A22" s="10" t="s">
        <v>1025</v>
      </c>
      <c r="B22" s="10" t="s">
        <v>1026</v>
      </c>
      <c r="C22" s="10" t="s">
        <v>1027</v>
      </c>
      <c r="D22" s="10" t="s">
        <v>564</v>
      </c>
    </row>
    <row r="23" spans="1:4" ht="27" x14ac:dyDescent="0.3">
      <c r="A23" s="61">
        <v>1</v>
      </c>
      <c r="B23" s="16" t="s">
        <v>1028</v>
      </c>
      <c r="C23" s="34">
        <v>72</v>
      </c>
      <c r="D23" s="58" t="s">
        <v>1029</v>
      </c>
    </row>
    <row r="24" spans="1:4" ht="40.200000000000003" x14ac:dyDescent="0.3">
      <c r="A24" s="61">
        <v>2</v>
      </c>
      <c r="B24" s="16" t="s">
        <v>1030</v>
      </c>
      <c r="C24" s="34">
        <v>72</v>
      </c>
      <c r="D24" s="58" t="s">
        <v>1031</v>
      </c>
    </row>
    <row r="25" spans="1:4" ht="27" x14ac:dyDescent="0.3">
      <c r="A25" s="61">
        <v>3</v>
      </c>
      <c r="B25" s="16" t="s">
        <v>1032</v>
      </c>
      <c r="C25" s="34">
        <v>18</v>
      </c>
      <c r="D25" s="58" t="s">
        <v>1033</v>
      </c>
    </row>
    <row r="26" spans="1:4" ht="27" x14ac:dyDescent="0.3">
      <c r="A26" s="61">
        <v>4</v>
      </c>
      <c r="B26" s="16" t="s">
        <v>1034</v>
      </c>
      <c r="C26" s="34">
        <v>18</v>
      </c>
      <c r="D26" s="58" t="s">
        <v>1035</v>
      </c>
    </row>
    <row r="27" spans="1:4" ht="27" x14ac:dyDescent="0.3">
      <c r="A27" s="131"/>
      <c r="B27" s="68" t="s">
        <v>1036</v>
      </c>
      <c r="D27" s="131"/>
    </row>
    <row r="28" spans="1:4" x14ac:dyDescent="0.3">
      <c r="A28" s="131"/>
      <c r="B28" s="131"/>
      <c r="D28" s="131"/>
    </row>
    <row r="29" spans="1:4" ht="53.4" x14ac:dyDescent="0.3">
      <c r="A29" s="47" t="s">
        <v>1037</v>
      </c>
      <c r="B29" s="131"/>
      <c r="D29" s="131"/>
    </row>
    <row r="30" spans="1:4" ht="66.599999999999994" x14ac:dyDescent="0.3">
      <c r="A30" s="47" t="s">
        <v>1038</v>
      </c>
      <c r="B30" s="131"/>
      <c r="D30" s="131"/>
    </row>
    <row r="31" spans="1:4" ht="53.4" x14ac:dyDescent="0.3">
      <c r="A31" s="47" t="s">
        <v>1039</v>
      </c>
      <c r="B31" s="131"/>
      <c r="D31" s="131"/>
    </row>
    <row r="32" spans="1:4" x14ac:dyDescent="0.3">
      <c r="A32" s="131"/>
      <c r="B32" s="131"/>
      <c r="D32" s="131"/>
    </row>
    <row r="33" spans="1:4" ht="29.4" x14ac:dyDescent="0.3">
      <c r="A33" s="131"/>
      <c r="B33" s="136" t="s">
        <v>1040</v>
      </c>
      <c r="D33" s="131"/>
    </row>
    <row r="34" spans="1:4" x14ac:dyDescent="0.3">
      <c r="A34" s="131"/>
      <c r="B34" s="5" t="s">
        <v>465</v>
      </c>
      <c r="C34" s="5" t="s">
        <v>1041</v>
      </c>
      <c r="D34" s="5" t="s">
        <v>618</v>
      </c>
    </row>
    <row r="35" spans="1:4" ht="25.2" x14ac:dyDescent="0.3">
      <c r="A35" s="131"/>
      <c r="B35" s="6" t="s">
        <v>699</v>
      </c>
      <c r="C35" s="6" t="s">
        <v>1042</v>
      </c>
      <c r="D35" s="6" t="s">
        <v>1043</v>
      </c>
    </row>
    <row r="36" spans="1:4" ht="25.2" x14ac:dyDescent="0.3">
      <c r="A36" s="131"/>
      <c r="B36" s="65" t="s">
        <v>704</v>
      </c>
      <c r="C36" s="65" t="s">
        <v>1044</v>
      </c>
      <c r="D36" s="65" t="s">
        <v>1045</v>
      </c>
    </row>
  </sheetData>
  <hyperlinks>
    <hyperlink ref="A3" location="'0. HUB'!A1" display="◀ HUB" xr:uid="{00000000-0004-0000-0E00-000000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8F00"/>
  </sheetPr>
  <dimension ref="A1:J57"/>
  <sheetViews>
    <sheetView showGridLines="0" zoomScaleNormal="100" workbookViewId="0"/>
  </sheetViews>
  <sheetFormatPr baseColWidth="10" defaultColWidth="8.6640625" defaultRowHeight="14.4" x14ac:dyDescent="0.3"/>
  <cols>
    <col min="1" max="2" width="40.77734375" customWidth="1"/>
    <col min="3" max="3" width="16.6640625" bestFit="1" customWidth="1"/>
    <col min="4" max="4" width="9.109375" bestFit="1" customWidth="1"/>
    <col min="5" max="5" width="12.5546875" bestFit="1" customWidth="1"/>
    <col min="6" max="6" width="16.6640625" bestFit="1" customWidth="1"/>
    <col min="7" max="7" width="10.6640625" bestFit="1" customWidth="1"/>
    <col min="8" max="8" width="13.77734375" bestFit="1" customWidth="1"/>
    <col min="9" max="9" width="11.88671875" bestFit="1" customWidth="1"/>
    <col min="10" max="10" width="15.77734375" bestFit="1" customWidth="1"/>
  </cols>
  <sheetData>
    <row r="1" spans="1:10" ht="52.2" x14ac:dyDescent="0.3">
      <c r="A1" s="146" t="s">
        <v>1046</v>
      </c>
      <c r="B1" s="131"/>
    </row>
    <row r="2" spans="1:10" ht="40.200000000000003" x14ac:dyDescent="0.3">
      <c r="A2" s="47" t="s">
        <v>1047</v>
      </c>
      <c r="B2" s="131"/>
    </row>
    <row r="3" spans="1:10" x14ac:dyDescent="0.3">
      <c r="A3" s="147" t="s">
        <v>72</v>
      </c>
      <c r="B3" s="131"/>
    </row>
    <row r="4" spans="1:10" ht="26.4" x14ac:dyDescent="0.3">
      <c r="A4" s="10" t="s">
        <v>465</v>
      </c>
      <c r="B4" s="10" t="s">
        <v>466</v>
      </c>
      <c r="C4" s="10" t="s">
        <v>1048</v>
      </c>
      <c r="D4" s="10" t="s">
        <v>985</v>
      </c>
      <c r="E4" s="10" t="s">
        <v>992</v>
      </c>
      <c r="F4" s="10" t="s">
        <v>1049</v>
      </c>
      <c r="G4" s="10" t="s">
        <v>1050</v>
      </c>
      <c r="H4" s="10" t="s">
        <v>1051</v>
      </c>
      <c r="I4" s="10" t="s">
        <v>1052</v>
      </c>
      <c r="J4" s="10" t="s">
        <v>1053</v>
      </c>
    </row>
    <row r="5" spans="1:10" x14ac:dyDescent="0.3">
      <c r="A5" s="159">
        <v>75253328</v>
      </c>
      <c r="B5" s="159" t="s">
        <v>483</v>
      </c>
      <c r="C5" s="95">
        <v>24</v>
      </c>
      <c r="D5" s="95">
        <v>514</v>
      </c>
      <c r="E5" s="96">
        <v>32.85</v>
      </c>
      <c r="F5" s="97">
        <f t="shared" ref="F5:F12" si="0">D5*E5</f>
        <v>16884.900000000001</v>
      </c>
      <c r="G5" s="95">
        <v>16</v>
      </c>
      <c r="H5" s="97">
        <v>375.88</v>
      </c>
      <c r="I5" s="95">
        <v>15</v>
      </c>
      <c r="J5" s="45" t="s">
        <v>1054</v>
      </c>
    </row>
    <row r="6" spans="1:10" x14ac:dyDescent="0.3">
      <c r="A6" s="159">
        <v>75214932</v>
      </c>
      <c r="B6" s="159" t="s">
        <v>479</v>
      </c>
      <c r="C6" s="95">
        <v>27</v>
      </c>
      <c r="D6" s="95">
        <v>339</v>
      </c>
      <c r="E6" s="96">
        <v>45.54</v>
      </c>
      <c r="F6" s="97">
        <f t="shared" si="0"/>
        <v>15438.06</v>
      </c>
      <c r="G6" s="95">
        <v>11</v>
      </c>
      <c r="H6" s="97">
        <v>527.70000000000005</v>
      </c>
      <c r="I6" s="95">
        <v>23</v>
      </c>
      <c r="J6" s="45" t="s">
        <v>129</v>
      </c>
    </row>
    <row r="7" spans="1:10" x14ac:dyDescent="0.3">
      <c r="A7" s="159">
        <v>75253329</v>
      </c>
      <c r="B7" s="159" t="s">
        <v>482</v>
      </c>
      <c r="C7" s="95">
        <v>19</v>
      </c>
      <c r="D7" s="95">
        <v>300</v>
      </c>
      <c r="E7" s="96">
        <v>22</v>
      </c>
      <c r="F7" s="97">
        <f t="shared" si="0"/>
        <v>6600</v>
      </c>
      <c r="G7" s="95">
        <v>4</v>
      </c>
      <c r="H7" s="97">
        <v>120.52</v>
      </c>
      <c r="I7" s="95">
        <v>14</v>
      </c>
      <c r="J7" s="45" t="s">
        <v>129</v>
      </c>
    </row>
    <row r="8" spans="1:10" x14ac:dyDescent="0.3">
      <c r="A8" s="159">
        <v>75244431</v>
      </c>
      <c r="B8" s="159" t="s">
        <v>489</v>
      </c>
      <c r="C8" s="95">
        <v>7</v>
      </c>
      <c r="D8" s="95">
        <v>54</v>
      </c>
      <c r="E8" s="96">
        <v>32.85</v>
      </c>
      <c r="F8" s="97">
        <f t="shared" si="0"/>
        <v>1773.9</v>
      </c>
      <c r="G8" s="95">
        <v>4</v>
      </c>
      <c r="H8" s="97">
        <v>36.159999999999997</v>
      </c>
      <c r="I8" s="95">
        <v>4</v>
      </c>
      <c r="J8" s="45" t="s">
        <v>1054</v>
      </c>
    </row>
    <row r="9" spans="1:10" x14ac:dyDescent="0.3">
      <c r="A9" s="159">
        <v>75244435</v>
      </c>
      <c r="B9" s="159" t="s">
        <v>488</v>
      </c>
      <c r="C9" s="95">
        <v>7</v>
      </c>
      <c r="D9" s="95">
        <v>39</v>
      </c>
      <c r="E9" s="96">
        <v>32.85</v>
      </c>
      <c r="F9" s="97">
        <f t="shared" si="0"/>
        <v>1281.1500000000001</v>
      </c>
      <c r="G9" s="95">
        <v>5</v>
      </c>
      <c r="H9" s="97">
        <v>147.66999999999999</v>
      </c>
      <c r="I9" s="95">
        <v>5</v>
      </c>
      <c r="J9" s="45" t="s">
        <v>1054</v>
      </c>
    </row>
    <row r="10" spans="1:10" x14ac:dyDescent="0.3">
      <c r="A10" s="159">
        <v>75244433</v>
      </c>
      <c r="B10" s="159" t="s">
        <v>491</v>
      </c>
      <c r="C10" s="95">
        <v>1</v>
      </c>
      <c r="D10" s="95">
        <v>4</v>
      </c>
      <c r="E10" s="96">
        <v>32.85</v>
      </c>
      <c r="F10" s="97">
        <f t="shared" si="0"/>
        <v>131.4</v>
      </c>
      <c r="G10" s="95">
        <v>0</v>
      </c>
      <c r="H10" s="97">
        <v>0</v>
      </c>
      <c r="I10" s="95">
        <v>1</v>
      </c>
      <c r="J10" s="45" t="s">
        <v>1054</v>
      </c>
    </row>
    <row r="11" spans="1:10" x14ac:dyDescent="0.3">
      <c r="A11" s="159">
        <v>75244436</v>
      </c>
      <c r="B11" s="159" t="s">
        <v>490</v>
      </c>
      <c r="C11" s="95">
        <v>1</v>
      </c>
      <c r="D11" s="95">
        <v>2</v>
      </c>
      <c r="E11" s="96">
        <v>32.85</v>
      </c>
      <c r="F11" s="97">
        <f t="shared" si="0"/>
        <v>65.7</v>
      </c>
      <c r="G11" s="95">
        <v>0</v>
      </c>
      <c r="H11" s="97">
        <v>0</v>
      </c>
      <c r="I11" s="95">
        <v>1</v>
      </c>
      <c r="J11" s="45" t="s">
        <v>1054</v>
      </c>
    </row>
    <row r="12" spans="1:10" x14ac:dyDescent="0.3">
      <c r="A12" s="159">
        <v>75214931</v>
      </c>
      <c r="B12" s="159" t="s">
        <v>472</v>
      </c>
      <c r="C12" s="95">
        <v>4</v>
      </c>
      <c r="D12" s="95">
        <v>0</v>
      </c>
      <c r="E12" s="96">
        <v>45.54</v>
      </c>
      <c r="F12" s="97">
        <f t="shared" si="0"/>
        <v>0</v>
      </c>
      <c r="G12" s="95">
        <v>5</v>
      </c>
      <c r="H12" s="97">
        <v>331.7</v>
      </c>
      <c r="I12" s="95">
        <v>0</v>
      </c>
      <c r="J12" s="45" t="s">
        <v>1054</v>
      </c>
    </row>
    <row r="13" spans="1:10" x14ac:dyDescent="0.3">
      <c r="A13" s="131"/>
      <c r="B13" s="68" t="s">
        <v>1055</v>
      </c>
      <c r="C13" s="49">
        <f>SUM(C5:C12)</f>
        <v>90</v>
      </c>
      <c r="D13" s="49">
        <f>SUM(D5:D12)</f>
        <v>1252</v>
      </c>
      <c r="F13" s="46">
        <f>SUM(F5:F12)</f>
        <v>42175.11</v>
      </c>
      <c r="G13" s="49">
        <f>SUM(G5:G12)</f>
        <v>45</v>
      </c>
      <c r="H13" s="46">
        <f>SUM(H5:H12)</f>
        <v>1539.6300000000003</v>
      </c>
      <c r="I13" s="49">
        <f>SUM(I5:I12)</f>
        <v>63</v>
      </c>
    </row>
    <row r="14" spans="1:10" x14ac:dyDescent="0.3">
      <c r="A14" s="131"/>
      <c r="B14" s="131"/>
    </row>
    <row r="15" spans="1:10" ht="79.8" x14ac:dyDescent="0.3">
      <c r="A15" s="131"/>
      <c r="B15" s="47" t="s">
        <v>1056</v>
      </c>
    </row>
    <row r="16" spans="1:10" x14ac:dyDescent="0.3">
      <c r="A16" s="131"/>
      <c r="B16" s="131"/>
    </row>
    <row r="17" spans="1:6" x14ac:dyDescent="0.3">
      <c r="A17" s="131"/>
      <c r="B17" s="68" t="s">
        <v>1057</v>
      </c>
    </row>
    <row r="18" spans="1:6" x14ac:dyDescent="0.3">
      <c r="A18" s="151" t="s">
        <v>506</v>
      </c>
      <c r="B18" s="151" t="s">
        <v>507</v>
      </c>
      <c r="C18" s="67" t="s">
        <v>1058</v>
      </c>
      <c r="D18" s="67" t="s">
        <v>625</v>
      </c>
      <c r="E18" s="67" t="s">
        <v>1049</v>
      </c>
      <c r="F18" s="67" t="s">
        <v>1051</v>
      </c>
    </row>
    <row r="19" spans="1:6" x14ac:dyDescent="0.3">
      <c r="A19" s="16">
        <v>4414</v>
      </c>
      <c r="B19" s="16" t="s">
        <v>525</v>
      </c>
      <c r="C19" s="34">
        <v>4</v>
      </c>
      <c r="D19" s="34">
        <v>258</v>
      </c>
      <c r="E19" s="30">
        <v>7693.02</v>
      </c>
      <c r="F19" s="30">
        <v>0</v>
      </c>
    </row>
    <row r="20" spans="1:6" x14ac:dyDescent="0.3">
      <c r="A20" s="16">
        <v>121</v>
      </c>
      <c r="B20" s="16" t="s">
        <v>522</v>
      </c>
      <c r="C20" s="34">
        <v>3</v>
      </c>
      <c r="D20" s="34">
        <v>177</v>
      </c>
      <c r="E20" s="30">
        <v>5814.45</v>
      </c>
      <c r="F20" s="30">
        <v>30.13</v>
      </c>
    </row>
    <row r="21" spans="1:6" x14ac:dyDescent="0.3">
      <c r="A21" s="16">
        <v>35</v>
      </c>
      <c r="B21" s="16" t="s">
        <v>549</v>
      </c>
      <c r="C21" s="34">
        <v>3</v>
      </c>
      <c r="D21" s="34">
        <v>63</v>
      </c>
      <c r="E21" s="30">
        <v>2035.54</v>
      </c>
      <c r="F21" s="30">
        <v>0</v>
      </c>
    </row>
    <row r="22" spans="1:6" x14ac:dyDescent="0.3">
      <c r="A22" s="16">
        <v>4037</v>
      </c>
      <c r="B22" s="16" t="s">
        <v>517</v>
      </c>
      <c r="C22" s="34">
        <v>2</v>
      </c>
      <c r="D22" s="34">
        <v>62</v>
      </c>
      <c r="E22" s="30">
        <v>2352.6799999999998</v>
      </c>
      <c r="F22" s="30">
        <v>0</v>
      </c>
    </row>
    <row r="23" spans="1:6" x14ac:dyDescent="0.3">
      <c r="A23" s="16">
        <v>4412</v>
      </c>
      <c r="B23" s="16" t="s">
        <v>538</v>
      </c>
      <c r="C23" s="34">
        <v>3</v>
      </c>
      <c r="D23" s="34">
        <v>61</v>
      </c>
      <c r="E23" s="30">
        <v>2168.8200000000002</v>
      </c>
      <c r="F23" s="30">
        <v>0</v>
      </c>
    </row>
    <row r="24" spans="1:6" x14ac:dyDescent="0.3">
      <c r="A24" s="16">
        <v>459</v>
      </c>
      <c r="B24" s="16" t="s">
        <v>527</v>
      </c>
      <c r="C24" s="34">
        <v>3</v>
      </c>
      <c r="D24" s="34">
        <v>58</v>
      </c>
      <c r="E24" s="30">
        <v>2209.86</v>
      </c>
      <c r="F24" s="30">
        <v>0</v>
      </c>
    </row>
    <row r="25" spans="1:6" x14ac:dyDescent="0.3">
      <c r="A25" s="16">
        <v>24</v>
      </c>
      <c r="B25" s="16" t="s">
        <v>543</v>
      </c>
      <c r="C25" s="34">
        <v>2</v>
      </c>
      <c r="D25" s="34">
        <v>51</v>
      </c>
      <c r="E25" s="30">
        <v>1404.48</v>
      </c>
      <c r="F25" s="30">
        <v>0</v>
      </c>
    </row>
    <row r="26" spans="1:6" x14ac:dyDescent="0.3">
      <c r="A26" s="16">
        <v>1054</v>
      </c>
      <c r="B26" s="16" t="s">
        <v>524</v>
      </c>
      <c r="C26" s="34">
        <v>3</v>
      </c>
      <c r="D26" s="34">
        <v>40</v>
      </c>
      <c r="E26" s="30">
        <v>1468.31</v>
      </c>
      <c r="F26" s="30">
        <v>0</v>
      </c>
    </row>
    <row r="27" spans="1:6" x14ac:dyDescent="0.3">
      <c r="A27" s="16">
        <v>948</v>
      </c>
      <c r="B27" s="16" t="s">
        <v>553</v>
      </c>
      <c r="C27" s="34">
        <v>3</v>
      </c>
      <c r="D27" s="34">
        <v>39</v>
      </c>
      <c r="E27" s="30">
        <v>1357.29</v>
      </c>
      <c r="F27" s="30">
        <v>0.44</v>
      </c>
    </row>
    <row r="28" spans="1:6" x14ac:dyDescent="0.3">
      <c r="A28" s="16">
        <v>4433</v>
      </c>
      <c r="B28" s="16" t="s">
        <v>520</v>
      </c>
      <c r="C28" s="34">
        <v>2</v>
      </c>
      <c r="D28" s="34">
        <v>38</v>
      </c>
      <c r="E28" s="30">
        <v>1353.88</v>
      </c>
      <c r="F28" s="30">
        <v>30.13</v>
      </c>
    </row>
    <row r="29" spans="1:6" x14ac:dyDescent="0.3">
      <c r="A29" s="16">
        <v>414</v>
      </c>
      <c r="B29" s="16" t="s">
        <v>544</v>
      </c>
      <c r="C29" s="34">
        <v>3</v>
      </c>
      <c r="D29" s="34">
        <v>38</v>
      </c>
      <c r="E29" s="30">
        <v>1556.54</v>
      </c>
      <c r="F29" s="30">
        <v>0</v>
      </c>
    </row>
    <row r="30" spans="1:6" x14ac:dyDescent="0.3">
      <c r="A30" s="16">
        <v>4491</v>
      </c>
      <c r="B30" s="16" t="s">
        <v>559</v>
      </c>
      <c r="C30" s="34">
        <v>4</v>
      </c>
      <c r="D30" s="34">
        <v>38</v>
      </c>
      <c r="E30" s="30">
        <v>1274.06</v>
      </c>
      <c r="F30" s="30">
        <v>0</v>
      </c>
    </row>
    <row r="31" spans="1:6" x14ac:dyDescent="0.3">
      <c r="A31" s="16">
        <v>419</v>
      </c>
      <c r="B31" s="16" t="s">
        <v>534</v>
      </c>
      <c r="C31" s="34">
        <v>3</v>
      </c>
      <c r="D31" s="34">
        <v>35</v>
      </c>
      <c r="E31" s="30">
        <v>1265.99</v>
      </c>
      <c r="F31" s="30">
        <v>52.45</v>
      </c>
    </row>
    <row r="32" spans="1:6" x14ac:dyDescent="0.3">
      <c r="A32" s="16">
        <v>4087</v>
      </c>
      <c r="B32" s="16" t="s">
        <v>532</v>
      </c>
      <c r="C32" s="34">
        <v>3</v>
      </c>
      <c r="D32" s="34">
        <v>34</v>
      </c>
      <c r="E32" s="30">
        <v>965</v>
      </c>
      <c r="F32" s="30">
        <v>0</v>
      </c>
    </row>
    <row r="33" spans="1:6" x14ac:dyDescent="0.3">
      <c r="A33" s="16">
        <v>180</v>
      </c>
      <c r="B33" s="16" t="s">
        <v>528</v>
      </c>
      <c r="C33" s="34">
        <v>3</v>
      </c>
      <c r="D33" s="34">
        <v>29</v>
      </c>
      <c r="E33" s="30">
        <v>963.88</v>
      </c>
      <c r="F33" s="30">
        <v>0</v>
      </c>
    </row>
    <row r="34" spans="1:6" x14ac:dyDescent="0.3">
      <c r="A34" s="16">
        <v>4116</v>
      </c>
      <c r="B34" s="16" t="s">
        <v>557</v>
      </c>
      <c r="C34" s="34">
        <v>4</v>
      </c>
      <c r="D34" s="34">
        <v>25</v>
      </c>
      <c r="E34" s="30">
        <v>875.88</v>
      </c>
      <c r="F34" s="30">
        <v>0</v>
      </c>
    </row>
    <row r="35" spans="1:6" x14ac:dyDescent="0.3">
      <c r="A35" s="16">
        <v>4176</v>
      </c>
      <c r="B35" s="16" t="s">
        <v>536</v>
      </c>
      <c r="C35" s="34">
        <v>3</v>
      </c>
      <c r="D35" s="34">
        <v>25</v>
      </c>
      <c r="E35" s="30">
        <v>629.63</v>
      </c>
      <c r="F35" s="30">
        <v>53.92</v>
      </c>
    </row>
    <row r="36" spans="1:6" x14ac:dyDescent="0.3">
      <c r="A36" s="16">
        <v>4370</v>
      </c>
      <c r="B36" s="16" t="s">
        <v>542</v>
      </c>
      <c r="C36" s="34">
        <v>1</v>
      </c>
      <c r="D36" s="34">
        <v>20</v>
      </c>
      <c r="E36" s="30">
        <v>440</v>
      </c>
      <c r="F36" s="30">
        <v>0</v>
      </c>
    </row>
    <row r="37" spans="1:6" x14ac:dyDescent="0.3">
      <c r="A37" s="16">
        <v>108</v>
      </c>
      <c r="B37" s="16" t="s">
        <v>512</v>
      </c>
      <c r="C37" s="34">
        <v>1</v>
      </c>
      <c r="D37" s="34">
        <v>16</v>
      </c>
      <c r="E37" s="30">
        <v>525.6</v>
      </c>
      <c r="F37" s="30">
        <v>22.32</v>
      </c>
    </row>
    <row r="38" spans="1:6" x14ac:dyDescent="0.3">
      <c r="A38" s="16">
        <v>491</v>
      </c>
      <c r="B38" s="16" t="s">
        <v>514</v>
      </c>
      <c r="C38" s="34">
        <v>2</v>
      </c>
      <c r="D38" s="34">
        <v>16</v>
      </c>
      <c r="E38" s="30">
        <v>728.64</v>
      </c>
      <c r="F38" s="30">
        <v>88.4</v>
      </c>
    </row>
    <row r="39" spans="1:6" x14ac:dyDescent="0.3">
      <c r="A39" s="16">
        <v>23</v>
      </c>
      <c r="B39" s="16" t="s">
        <v>521</v>
      </c>
      <c r="C39" s="34">
        <v>2</v>
      </c>
      <c r="D39" s="34">
        <v>14</v>
      </c>
      <c r="E39" s="30">
        <v>612.17999999999995</v>
      </c>
      <c r="F39" s="30">
        <v>342.87</v>
      </c>
    </row>
    <row r="40" spans="1:6" x14ac:dyDescent="0.3">
      <c r="A40" s="16">
        <v>458</v>
      </c>
      <c r="B40" s="16" t="s">
        <v>548</v>
      </c>
      <c r="C40" s="34">
        <v>3</v>
      </c>
      <c r="D40" s="34">
        <v>14</v>
      </c>
      <c r="E40" s="30">
        <v>527.03</v>
      </c>
      <c r="F40" s="30">
        <v>80.37</v>
      </c>
    </row>
    <row r="41" spans="1:6" x14ac:dyDescent="0.3">
      <c r="A41" s="16">
        <v>164</v>
      </c>
      <c r="B41" s="16" t="s">
        <v>555</v>
      </c>
      <c r="C41" s="34">
        <v>1</v>
      </c>
      <c r="D41" s="34">
        <v>14</v>
      </c>
      <c r="E41" s="30">
        <v>459.9</v>
      </c>
      <c r="F41" s="30">
        <v>0</v>
      </c>
    </row>
    <row r="42" spans="1:6" x14ac:dyDescent="0.3">
      <c r="A42" s="16">
        <v>47</v>
      </c>
      <c r="B42" s="16" t="s">
        <v>516</v>
      </c>
      <c r="C42" s="34">
        <v>1</v>
      </c>
      <c r="D42" s="34">
        <v>14</v>
      </c>
      <c r="E42" s="30">
        <v>637.55999999999995</v>
      </c>
      <c r="F42" s="30">
        <v>0</v>
      </c>
    </row>
    <row r="43" spans="1:6" x14ac:dyDescent="0.3">
      <c r="A43" s="16">
        <v>4490</v>
      </c>
      <c r="B43" s="16" t="s">
        <v>537</v>
      </c>
      <c r="C43" s="34">
        <v>2</v>
      </c>
      <c r="D43" s="34">
        <v>13</v>
      </c>
      <c r="E43" s="30">
        <v>427.05</v>
      </c>
      <c r="F43" s="30">
        <v>201.59</v>
      </c>
    </row>
    <row r="44" spans="1:6" x14ac:dyDescent="0.3">
      <c r="A44" s="16">
        <v>344</v>
      </c>
      <c r="B44" s="16" t="s">
        <v>535</v>
      </c>
      <c r="C44" s="34">
        <v>1</v>
      </c>
      <c r="D44" s="34">
        <v>12</v>
      </c>
      <c r="E44" s="30">
        <v>546.48</v>
      </c>
      <c r="F44" s="30">
        <v>0</v>
      </c>
    </row>
    <row r="45" spans="1:6" x14ac:dyDescent="0.3">
      <c r="A45" s="16">
        <v>727</v>
      </c>
      <c r="B45" s="16" t="s">
        <v>518</v>
      </c>
      <c r="C45" s="34">
        <v>3</v>
      </c>
      <c r="D45" s="34">
        <v>9</v>
      </c>
      <c r="E45" s="30">
        <v>359.1</v>
      </c>
      <c r="F45" s="30">
        <v>30.13</v>
      </c>
    </row>
    <row r="46" spans="1:6" x14ac:dyDescent="0.3">
      <c r="A46" s="16">
        <v>21</v>
      </c>
      <c r="B46" s="16" t="s">
        <v>550</v>
      </c>
      <c r="C46" s="34">
        <v>3</v>
      </c>
      <c r="D46" s="34">
        <v>8</v>
      </c>
      <c r="E46" s="30">
        <v>300.87</v>
      </c>
      <c r="F46" s="30">
        <v>66.34</v>
      </c>
    </row>
    <row r="47" spans="1:6" x14ac:dyDescent="0.3">
      <c r="A47" s="16">
        <v>34</v>
      </c>
      <c r="B47" s="16" t="s">
        <v>529</v>
      </c>
      <c r="C47" s="34">
        <v>1</v>
      </c>
      <c r="D47" s="34">
        <v>7</v>
      </c>
      <c r="E47" s="30">
        <v>229.95</v>
      </c>
      <c r="F47" s="30">
        <v>22.32</v>
      </c>
    </row>
    <row r="48" spans="1:6" x14ac:dyDescent="0.3">
      <c r="A48" s="16">
        <v>4173</v>
      </c>
      <c r="B48" s="16" t="s">
        <v>539</v>
      </c>
      <c r="C48" s="34">
        <v>4</v>
      </c>
      <c r="D48" s="34">
        <v>7</v>
      </c>
      <c r="E48" s="30">
        <v>342.32</v>
      </c>
      <c r="F48" s="30">
        <v>44.82</v>
      </c>
    </row>
    <row r="49" spans="1:6" x14ac:dyDescent="0.3">
      <c r="A49" s="16">
        <v>20</v>
      </c>
      <c r="B49" s="16" t="s">
        <v>552</v>
      </c>
      <c r="C49" s="34">
        <v>1</v>
      </c>
      <c r="D49" s="34">
        <v>5</v>
      </c>
      <c r="E49" s="30">
        <v>227.7</v>
      </c>
      <c r="F49" s="30">
        <v>123.22</v>
      </c>
    </row>
    <row r="50" spans="1:6" x14ac:dyDescent="0.3">
      <c r="A50" s="16">
        <v>33</v>
      </c>
      <c r="B50" s="16" t="s">
        <v>526</v>
      </c>
      <c r="C50" s="34">
        <v>2</v>
      </c>
      <c r="D50" s="34">
        <v>4</v>
      </c>
      <c r="E50" s="30">
        <v>131.4</v>
      </c>
      <c r="F50" s="30">
        <v>0</v>
      </c>
    </row>
    <row r="51" spans="1:6" x14ac:dyDescent="0.3">
      <c r="A51" s="16">
        <v>46</v>
      </c>
      <c r="B51" s="16" t="s">
        <v>519</v>
      </c>
      <c r="C51" s="34">
        <v>2</v>
      </c>
      <c r="D51" s="34">
        <v>3</v>
      </c>
      <c r="E51" s="30">
        <v>98.55</v>
      </c>
      <c r="F51" s="30">
        <v>0</v>
      </c>
    </row>
    <row r="52" spans="1:6" x14ac:dyDescent="0.3">
      <c r="A52" s="16">
        <v>169</v>
      </c>
      <c r="B52" s="16" t="s">
        <v>531</v>
      </c>
      <c r="C52" s="34">
        <v>3</v>
      </c>
      <c r="D52" s="34">
        <v>3</v>
      </c>
      <c r="E52" s="30">
        <v>100.39</v>
      </c>
      <c r="F52" s="30">
        <v>66.959999999999994</v>
      </c>
    </row>
    <row r="53" spans="1:6" x14ac:dyDescent="0.3">
      <c r="A53" s="16">
        <v>457</v>
      </c>
      <c r="B53" s="16" t="s">
        <v>511</v>
      </c>
      <c r="C53" s="34">
        <v>2</v>
      </c>
      <c r="D53" s="34">
        <v>2</v>
      </c>
      <c r="E53" s="30">
        <v>91.08</v>
      </c>
      <c r="F53" s="30">
        <v>66.34</v>
      </c>
    </row>
    <row r="54" spans="1:6" x14ac:dyDescent="0.3">
      <c r="A54" s="16">
        <v>460</v>
      </c>
      <c r="B54" s="16" t="s">
        <v>546</v>
      </c>
      <c r="C54" s="34">
        <v>1</v>
      </c>
      <c r="D54" s="34">
        <v>0</v>
      </c>
      <c r="E54" s="30">
        <v>0</v>
      </c>
      <c r="F54" s="30">
        <v>0</v>
      </c>
    </row>
    <row r="55" spans="1:6" x14ac:dyDescent="0.3">
      <c r="A55" s="16">
        <v>4126</v>
      </c>
      <c r="B55" s="16" t="s">
        <v>547</v>
      </c>
      <c r="C55" s="34">
        <v>1</v>
      </c>
      <c r="D55" s="34">
        <v>0</v>
      </c>
      <c r="E55" s="30">
        <v>0</v>
      </c>
      <c r="F55" s="30">
        <v>132.68</v>
      </c>
    </row>
    <row r="56" spans="1:6" x14ac:dyDescent="0.3">
      <c r="A56" s="16">
        <v>4317</v>
      </c>
      <c r="B56" s="16" t="s">
        <v>540</v>
      </c>
      <c r="C56" s="34">
        <v>2</v>
      </c>
      <c r="D56" s="34">
        <v>0</v>
      </c>
      <c r="E56" s="30">
        <v>0</v>
      </c>
      <c r="F56" s="30">
        <v>84.2</v>
      </c>
    </row>
    <row r="57" spans="1:6" x14ac:dyDescent="0.3">
      <c r="A57" s="131"/>
      <c r="B57" s="68" t="s">
        <v>492</v>
      </c>
      <c r="C57" s="49">
        <f>SUM(C19:C56)</f>
        <v>90</v>
      </c>
      <c r="D57" s="49">
        <f>SUM(D19:D56)</f>
        <v>1252</v>
      </c>
      <c r="E57" s="46">
        <f>SUM(E19:E56)</f>
        <v>42175.110000000008</v>
      </c>
      <c r="F57" s="46">
        <f>SUM(F19:F56)</f>
        <v>1539.63</v>
      </c>
    </row>
  </sheetData>
  <hyperlinks>
    <hyperlink ref="A3" location="'0. HUB'!A1" display="◀ HUB" xr:uid="{00000000-0004-0000-0F00-000000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8F00"/>
  </sheetPr>
  <dimension ref="A1:L16"/>
  <sheetViews>
    <sheetView showGridLines="0" zoomScaleNormal="100" workbookViewId="0"/>
  </sheetViews>
  <sheetFormatPr baseColWidth="10" defaultColWidth="8.6640625" defaultRowHeight="14.4" x14ac:dyDescent="0.3"/>
  <cols>
    <col min="1" max="2" width="40.77734375" customWidth="1"/>
    <col min="3" max="3" width="10.109375" bestFit="1" customWidth="1"/>
    <col min="4" max="4" width="9.21875" bestFit="1" customWidth="1"/>
    <col min="5" max="5" width="9" bestFit="1" customWidth="1"/>
    <col min="6" max="6" width="6.88671875" bestFit="1" customWidth="1"/>
    <col min="7" max="7" width="8.77734375" bestFit="1" customWidth="1"/>
    <col min="8" max="8" width="11.21875" bestFit="1" customWidth="1"/>
    <col min="9" max="9" width="8.21875" bestFit="1" customWidth="1"/>
    <col min="10" max="10" width="11.88671875" bestFit="1" customWidth="1"/>
    <col min="11" max="11" width="16.6640625" bestFit="1" customWidth="1"/>
    <col min="12" max="12" width="14" bestFit="1" customWidth="1"/>
  </cols>
  <sheetData>
    <row r="1" spans="1:12" ht="34.799999999999997" x14ac:dyDescent="0.3">
      <c r="A1" s="146" t="s">
        <v>1059</v>
      </c>
      <c r="B1" s="131"/>
    </row>
    <row r="2" spans="1:12" ht="40.200000000000003" x14ac:dyDescent="0.3">
      <c r="A2" s="47" t="s">
        <v>1060</v>
      </c>
      <c r="B2" s="131"/>
    </row>
    <row r="3" spans="1:12" ht="66.599999999999994" x14ac:dyDescent="0.3">
      <c r="A3" s="160" t="s">
        <v>1061</v>
      </c>
      <c r="B3" s="131"/>
    </row>
    <row r="4" spans="1:12" x14ac:dyDescent="0.3">
      <c r="A4" s="147" t="s">
        <v>72</v>
      </c>
      <c r="B4" s="131"/>
    </row>
    <row r="5" spans="1:12" ht="26.4" x14ac:dyDescent="0.3">
      <c r="A5" s="10" t="s">
        <v>465</v>
      </c>
      <c r="B5" s="10" t="s">
        <v>983</v>
      </c>
      <c r="C5" s="10" t="s">
        <v>984</v>
      </c>
      <c r="D5" s="10" t="s">
        <v>1062</v>
      </c>
      <c r="E5" s="10" t="s">
        <v>985</v>
      </c>
      <c r="F5" s="10" t="s">
        <v>992</v>
      </c>
      <c r="G5" s="10" t="s">
        <v>1063</v>
      </c>
      <c r="H5" s="10" t="s">
        <v>1064</v>
      </c>
      <c r="I5" s="10" t="s">
        <v>1048</v>
      </c>
      <c r="J5" s="10" t="s">
        <v>1052</v>
      </c>
      <c r="K5" s="10" t="s">
        <v>1065</v>
      </c>
      <c r="L5" s="10" t="s">
        <v>1066</v>
      </c>
    </row>
    <row r="6" spans="1:12" x14ac:dyDescent="0.3">
      <c r="A6" s="103">
        <v>75437612</v>
      </c>
      <c r="B6" s="103" t="s">
        <v>675</v>
      </c>
      <c r="C6" s="51" t="s">
        <v>996</v>
      </c>
      <c r="D6" s="98">
        <v>16</v>
      </c>
      <c r="E6" s="59">
        <v>491</v>
      </c>
      <c r="F6" s="99">
        <v>43.8</v>
      </c>
      <c r="G6" s="52">
        <f t="shared" ref="G6:G12" si="0">E6*F6</f>
        <v>21505.8</v>
      </c>
      <c r="H6" s="59">
        <v>3</v>
      </c>
      <c r="I6" s="59">
        <v>30</v>
      </c>
      <c r="J6" s="59">
        <v>26</v>
      </c>
      <c r="K6" s="100">
        <f t="shared" ref="K6:K12" si="1">IFERROR(E6/H6,"nunca — no vendió")</f>
        <v>163.66666666666666</v>
      </c>
      <c r="L6" s="59">
        <v>0</v>
      </c>
    </row>
    <row r="7" spans="1:12" x14ac:dyDescent="0.3">
      <c r="A7" s="103">
        <v>75437613</v>
      </c>
      <c r="B7" s="103" t="s">
        <v>678</v>
      </c>
      <c r="C7" s="51" t="s">
        <v>996</v>
      </c>
      <c r="D7" s="98">
        <v>16</v>
      </c>
      <c r="E7" s="59">
        <v>379</v>
      </c>
      <c r="F7" s="99">
        <v>43.8</v>
      </c>
      <c r="G7" s="52">
        <f t="shared" si="0"/>
        <v>16600.2</v>
      </c>
      <c r="H7" s="59">
        <v>12</v>
      </c>
      <c r="I7" s="59">
        <v>25</v>
      </c>
      <c r="J7" s="59">
        <v>20</v>
      </c>
      <c r="K7" s="100">
        <f t="shared" si="1"/>
        <v>31.583333333333332</v>
      </c>
      <c r="L7" s="59">
        <v>579</v>
      </c>
    </row>
    <row r="8" spans="1:12" x14ac:dyDescent="0.3">
      <c r="A8" s="103">
        <v>75437617</v>
      </c>
      <c r="B8" s="103" t="s">
        <v>684</v>
      </c>
      <c r="C8" s="51" t="s">
        <v>996</v>
      </c>
      <c r="D8" s="98">
        <v>16</v>
      </c>
      <c r="E8" s="59">
        <v>120</v>
      </c>
      <c r="F8" s="99">
        <v>16</v>
      </c>
      <c r="G8" s="52">
        <f t="shared" si="0"/>
        <v>1920</v>
      </c>
      <c r="H8" s="59">
        <v>1</v>
      </c>
      <c r="I8" s="59">
        <v>10</v>
      </c>
      <c r="J8" s="59">
        <v>7</v>
      </c>
      <c r="K8" s="100">
        <f t="shared" si="1"/>
        <v>120</v>
      </c>
      <c r="L8" s="59">
        <v>40</v>
      </c>
    </row>
    <row r="9" spans="1:12" x14ac:dyDescent="0.3">
      <c r="A9" s="103">
        <v>75437620</v>
      </c>
      <c r="B9" s="103" t="s">
        <v>693</v>
      </c>
      <c r="C9" s="51" t="s">
        <v>996</v>
      </c>
      <c r="D9" s="98">
        <v>16</v>
      </c>
      <c r="E9" s="59">
        <v>92</v>
      </c>
      <c r="F9" s="99">
        <v>18.25</v>
      </c>
      <c r="G9" s="52">
        <f t="shared" si="0"/>
        <v>1679</v>
      </c>
      <c r="H9" s="59">
        <v>0</v>
      </c>
      <c r="I9" s="59">
        <v>8</v>
      </c>
      <c r="J9" s="59">
        <v>6</v>
      </c>
      <c r="K9" s="100" t="str">
        <f t="shared" si="1"/>
        <v>nunca — no vendió</v>
      </c>
      <c r="L9" s="59">
        <v>0</v>
      </c>
    </row>
    <row r="10" spans="1:12" x14ac:dyDescent="0.3">
      <c r="A10" s="103">
        <v>75437618</v>
      </c>
      <c r="B10" s="103" t="s">
        <v>687</v>
      </c>
      <c r="C10" s="51" t="s">
        <v>996</v>
      </c>
      <c r="D10" s="98">
        <v>16</v>
      </c>
      <c r="E10" s="59">
        <v>76</v>
      </c>
      <c r="F10" s="99">
        <v>18.25</v>
      </c>
      <c r="G10" s="52">
        <f t="shared" si="0"/>
        <v>1387</v>
      </c>
      <c r="H10" s="59">
        <v>0</v>
      </c>
      <c r="I10" s="59">
        <v>6</v>
      </c>
      <c r="J10" s="59">
        <v>4</v>
      </c>
      <c r="K10" s="100" t="str">
        <f t="shared" si="1"/>
        <v>nunca — no vendió</v>
      </c>
      <c r="L10" s="59">
        <v>0</v>
      </c>
    </row>
    <row r="11" spans="1:12" x14ac:dyDescent="0.3">
      <c r="A11" s="103">
        <v>75437619</v>
      </c>
      <c r="B11" s="103" t="s">
        <v>690</v>
      </c>
      <c r="C11" s="51" t="s">
        <v>996</v>
      </c>
      <c r="D11" s="98">
        <v>16</v>
      </c>
      <c r="E11" s="59">
        <v>49</v>
      </c>
      <c r="F11" s="99">
        <v>18.25</v>
      </c>
      <c r="G11" s="52">
        <f t="shared" si="0"/>
        <v>894.25</v>
      </c>
      <c r="H11" s="59">
        <v>2</v>
      </c>
      <c r="I11" s="59">
        <v>5</v>
      </c>
      <c r="J11" s="59">
        <v>2</v>
      </c>
      <c r="K11" s="100">
        <f t="shared" si="1"/>
        <v>24.5</v>
      </c>
      <c r="L11" s="59">
        <v>111</v>
      </c>
    </row>
    <row r="12" spans="1:12" x14ac:dyDescent="0.3">
      <c r="A12" s="57">
        <v>75437615</v>
      </c>
      <c r="B12" s="57" t="s">
        <v>681</v>
      </c>
      <c r="C12" s="44" t="s">
        <v>995</v>
      </c>
      <c r="D12" s="86">
        <v>85</v>
      </c>
      <c r="E12" s="71">
        <v>328</v>
      </c>
      <c r="F12" s="101">
        <v>16</v>
      </c>
      <c r="G12" s="72">
        <f t="shared" si="0"/>
        <v>5248</v>
      </c>
      <c r="H12" s="71">
        <v>44</v>
      </c>
      <c r="I12" s="71">
        <v>29</v>
      </c>
      <c r="J12" s="71">
        <v>15</v>
      </c>
      <c r="K12" s="102">
        <f t="shared" si="1"/>
        <v>7.4545454545454541</v>
      </c>
      <c r="L12" s="71">
        <v>1708</v>
      </c>
    </row>
    <row r="13" spans="1:12" x14ac:dyDescent="0.3">
      <c r="A13" s="131"/>
      <c r="B13" s="68" t="s">
        <v>492</v>
      </c>
      <c r="E13" s="49">
        <f>SUM(E6:E12)</f>
        <v>1535</v>
      </c>
      <c r="G13" s="46">
        <f>SUM(G6:G12)</f>
        <v>49234.25</v>
      </c>
      <c r="L13" s="49">
        <f>SUM(L6:L12)</f>
        <v>2438</v>
      </c>
    </row>
    <row r="14" spans="1:12" x14ac:dyDescent="0.3">
      <c r="A14" s="131"/>
      <c r="B14" s="131"/>
    </row>
    <row r="15" spans="1:12" ht="79.8" x14ac:dyDescent="0.3">
      <c r="A15" s="131"/>
      <c r="B15" s="47" t="s">
        <v>1067</v>
      </c>
    </row>
    <row r="16" spans="1:12" ht="40.200000000000003" x14ac:dyDescent="0.3">
      <c r="A16" s="131"/>
      <c r="B16" s="47" t="s">
        <v>1068</v>
      </c>
    </row>
  </sheetData>
  <hyperlinks>
    <hyperlink ref="A4" location="'0. HUB'!A1" display="◀ HUB" xr:uid="{00000000-0004-0000-1000-000000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D7D31"/>
  </sheetPr>
  <dimension ref="A1:E28"/>
  <sheetViews>
    <sheetView showGridLines="0" topLeftCell="A2" zoomScaleNormal="100" workbookViewId="0"/>
  </sheetViews>
  <sheetFormatPr baseColWidth="10" defaultColWidth="8.6640625" defaultRowHeight="14.4" x14ac:dyDescent="0.3"/>
  <cols>
    <col min="1" max="1" width="36.33203125" bestFit="1" customWidth="1"/>
    <col min="2" max="3" width="40.77734375" customWidth="1"/>
    <col min="4" max="4" width="9" customWidth="1"/>
    <col min="5" max="5" width="40.77734375" customWidth="1"/>
  </cols>
  <sheetData>
    <row r="1" spans="1:5" ht="84" x14ac:dyDescent="0.4">
      <c r="A1" s="2" t="s">
        <v>72</v>
      </c>
      <c r="B1" s="139" t="s">
        <v>1069</v>
      </c>
      <c r="C1" s="131"/>
      <c r="E1" s="131"/>
    </row>
    <row r="2" spans="1:5" ht="66.599999999999994" x14ac:dyDescent="0.3">
      <c r="B2" s="47" t="s">
        <v>1070</v>
      </c>
      <c r="C2" s="131"/>
      <c r="E2" s="131"/>
    </row>
    <row r="3" spans="1:5" x14ac:dyDescent="0.3">
      <c r="B3" s="131"/>
      <c r="C3" s="131"/>
      <c r="E3" s="131"/>
    </row>
    <row r="4" spans="1:5" x14ac:dyDescent="0.3">
      <c r="A4" s="9" t="s">
        <v>1071</v>
      </c>
      <c r="B4" s="131"/>
      <c r="C4" s="131"/>
      <c r="E4" s="131"/>
    </row>
    <row r="5" spans="1:5" x14ac:dyDescent="0.3">
      <c r="A5" s="29" t="s">
        <v>1072</v>
      </c>
      <c r="B5" s="161">
        <v>17</v>
      </c>
      <c r="C5" s="58" t="s">
        <v>1073</v>
      </c>
      <c r="E5" s="131"/>
    </row>
    <row r="6" spans="1:5" ht="40.200000000000003" x14ac:dyDescent="0.3">
      <c r="A6" s="29" t="s">
        <v>1074</v>
      </c>
      <c r="B6" s="161">
        <v>8</v>
      </c>
      <c r="C6" s="58" t="s">
        <v>1075</v>
      </c>
      <c r="E6" s="131"/>
    </row>
    <row r="7" spans="1:5" ht="27" x14ac:dyDescent="0.3">
      <c r="A7" s="29" t="s">
        <v>1076</v>
      </c>
      <c r="B7" s="161">
        <v>22</v>
      </c>
      <c r="C7" s="58" t="s">
        <v>1077</v>
      </c>
      <c r="E7" s="131"/>
    </row>
    <row r="8" spans="1:5" ht="27" x14ac:dyDescent="0.3">
      <c r="A8" s="29" t="s">
        <v>1078</v>
      </c>
      <c r="B8" s="161">
        <v>10</v>
      </c>
      <c r="C8" s="58" t="s">
        <v>1079</v>
      </c>
      <c r="E8" s="131"/>
    </row>
    <row r="9" spans="1:5" x14ac:dyDescent="0.3">
      <c r="A9" s="29" t="s">
        <v>1080</v>
      </c>
      <c r="B9" s="161">
        <v>7</v>
      </c>
      <c r="C9" s="58" t="s">
        <v>1081</v>
      </c>
      <c r="E9" s="131"/>
    </row>
    <row r="10" spans="1:5" ht="27" x14ac:dyDescent="0.3">
      <c r="A10" s="29" t="s">
        <v>1082</v>
      </c>
      <c r="B10" s="161">
        <v>7</v>
      </c>
      <c r="C10" s="58" t="s">
        <v>1083</v>
      </c>
      <c r="E10" s="131"/>
    </row>
    <row r="11" spans="1:5" ht="27" x14ac:dyDescent="0.3">
      <c r="A11" s="29" t="s">
        <v>1084</v>
      </c>
      <c r="B11" s="161">
        <v>1</v>
      </c>
      <c r="C11" s="58" t="s">
        <v>1085</v>
      </c>
      <c r="E11" s="131"/>
    </row>
    <row r="12" spans="1:5" x14ac:dyDescent="0.3">
      <c r="B12" s="131"/>
      <c r="C12" s="131"/>
      <c r="E12" s="131"/>
    </row>
    <row r="13" spans="1:5" x14ac:dyDescent="0.3">
      <c r="A13" s="9" t="s">
        <v>1086</v>
      </c>
      <c r="B13" s="131"/>
      <c r="C13" s="131"/>
      <c r="E13" s="131"/>
    </row>
    <row r="14" spans="1:5" x14ac:dyDescent="0.3">
      <c r="A14" s="10" t="s">
        <v>1087</v>
      </c>
      <c r="B14" s="10" t="s">
        <v>1088</v>
      </c>
      <c r="C14" s="10" t="s">
        <v>820</v>
      </c>
      <c r="D14" s="10" t="s">
        <v>1089</v>
      </c>
      <c r="E14" s="10" t="s">
        <v>1090</v>
      </c>
    </row>
    <row r="15" spans="1:5" ht="27" x14ac:dyDescent="0.3">
      <c r="A15" s="16" t="s">
        <v>1091</v>
      </c>
      <c r="B15" s="16" t="s">
        <v>1092</v>
      </c>
      <c r="C15" s="16" t="s">
        <v>1093</v>
      </c>
      <c r="D15" s="16">
        <v>5</v>
      </c>
      <c r="E15" s="16" t="s">
        <v>1094</v>
      </c>
    </row>
    <row r="16" spans="1:5" ht="27" x14ac:dyDescent="0.3">
      <c r="A16" s="16" t="s">
        <v>1095</v>
      </c>
      <c r="B16" s="16" t="s">
        <v>1096</v>
      </c>
      <c r="C16" s="16" t="s">
        <v>1097</v>
      </c>
      <c r="D16" s="16">
        <v>1</v>
      </c>
      <c r="E16" s="16" t="s">
        <v>1098</v>
      </c>
    </row>
    <row r="17" spans="1:5" x14ac:dyDescent="0.3">
      <c r="A17" s="16" t="s">
        <v>1099</v>
      </c>
      <c r="B17" s="16" t="s">
        <v>1100</v>
      </c>
      <c r="C17" s="16" t="s">
        <v>1101</v>
      </c>
      <c r="D17" s="16">
        <v>1</v>
      </c>
      <c r="E17" s="16" t="s">
        <v>1102</v>
      </c>
    </row>
    <row r="18" spans="1:5" x14ac:dyDescent="0.3">
      <c r="A18" s="16" t="s">
        <v>1103</v>
      </c>
      <c r="B18" s="16" t="s">
        <v>1104</v>
      </c>
      <c r="C18" s="16" t="s">
        <v>1105</v>
      </c>
      <c r="D18" s="16">
        <v>3</v>
      </c>
      <c r="E18" s="16" t="s">
        <v>1106</v>
      </c>
    </row>
    <row r="19" spans="1:5" x14ac:dyDescent="0.3">
      <c r="A19" s="16" t="s">
        <v>1107</v>
      </c>
      <c r="B19" s="16" t="s">
        <v>1108</v>
      </c>
      <c r="C19" s="16" t="s">
        <v>1109</v>
      </c>
      <c r="D19" s="16">
        <v>3</v>
      </c>
      <c r="E19" s="16" t="s">
        <v>1110</v>
      </c>
    </row>
    <row r="20" spans="1:5" x14ac:dyDescent="0.3">
      <c r="A20" s="16" t="s">
        <v>1111</v>
      </c>
      <c r="B20" s="16" t="s">
        <v>1112</v>
      </c>
      <c r="C20" s="16" t="s">
        <v>1113</v>
      </c>
      <c r="D20" s="16">
        <v>1</v>
      </c>
      <c r="E20" s="16" t="s">
        <v>1114</v>
      </c>
    </row>
    <row r="21" spans="1:5" x14ac:dyDescent="0.3">
      <c r="A21" s="16" t="s">
        <v>1115</v>
      </c>
      <c r="B21" s="16" t="s">
        <v>1116</v>
      </c>
      <c r="C21" s="16" t="s">
        <v>1117</v>
      </c>
      <c r="D21" s="16">
        <v>2</v>
      </c>
      <c r="E21" s="16" t="s">
        <v>1118</v>
      </c>
    </row>
    <row r="22" spans="1:5" x14ac:dyDescent="0.3">
      <c r="A22" s="16" t="s">
        <v>1119</v>
      </c>
      <c r="B22" s="16" t="s">
        <v>1120</v>
      </c>
      <c r="C22" s="16" t="s">
        <v>1121</v>
      </c>
      <c r="D22" s="16">
        <v>2</v>
      </c>
      <c r="E22" s="16" t="s">
        <v>1122</v>
      </c>
    </row>
    <row r="23" spans="1:5" x14ac:dyDescent="0.3">
      <c r="A23" s="16" t="s">
        <v>1123</v>
      </c>
      <c r="B23" s="16" t="s">
        <v>1124</v>
      </c>
      <c r="C23" s="16" t="s">
        <v>1125</v>
      </c>
      <c r="D23" s="16">
        <v>1</v>
      </c>
      <c r="E23" s="16" t="s">
        <v>1126</v>
      </c>
    </row>
    <row r="24" spans="1:5" ht="27" x14ac:dyDescent="0.3">
      <c r="A24" s="16" t="s">
        <v>1107</v>
      </c>
      <c r="B24" s="16" t="s">
        <v>1127</v>
      </c>
      <c r="C24" s="16" t="s">
        <v>1128</v>
      </c>
      <c r="D24" s="16">
        <v>1</v>
      </c>
      <c r="E24" s="16" t="s">
        <v>1129</v>
      </c>
    </row>
    <row r="25" spans="1:5" x14ac:dyDescent="0.3">
      <c r="B25" s="131"/>
      <c r="C25" s="131"/>
      <c r="E25" s="131"/>
    </row>
    <row r="26" spans="1:5" x14ac:dyDescent="0.3">
      <c r="A26" s="130" t="s">
        <v>1130</v>
      </c>
      <c r="B26" s="128"/>
      <c r="C26" s="128"/>
      <c r="D26" s="130"/>
      <c r="E26" s="128"/>
    </row>
    <row r="27" spans="1:5" x14ac:dyDescent="0.3">
      <c r="B27" s="131"/>
      <c r="C27" s="131"/>
      <c r="E27" s="131"/>
    </row>
    <row r="28" spans="1:5" x14ac:dyDescent="0.3">
      <c r="A28" s="129" t="s">
        <v>1131</v>
      </c>
      <c r="B28" s="129"/>
      <c r="C28" s="129"/>
      <c r="D28" s="129"/>
      <c r="E28" s="129"/>
    </row>
  </sheetData>
  <mergeCells count="2">
    <mergeCell ref="A26:E26"/>
    <mergeCell ref="A28:E28"/>
  </mergeCells>
  <hyperlinks>
    <hyperlink ref="A1" location="'0. HUB'!A1" display="◀ HUB" xr:uid="{00000000-0004-0000-1100-000000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D7D31"/>
  </sheetPr>
  <dimension ref="A1:F25"/>
  <sheetViews>
    <sheetView showGridLines="0" zoomScaleNormal="100" workbookViewId="0"/>
  </sheetViews>
  <sheetFormatPr baseColWidth="10" defaultColWidth="8.6640625" defaultRowHeight="14.4" x14ac:dyDescent="0.3"/>
  <cols>
    <col min="1" max="1" width="40.77734375" customWidth="1"/>
    <col min="2" max="2" width="8.21875" bestFit="1" customWidth="1"/>
    <col min="3" max="3" width="10.88671875" bestFit="1" customWidth="1"/>
    <col min="4" max="4" width="9.109375" bestFit="1" customWidth="1"/>
    <col min="5" max="5" width="7.21875" bestFit="1" customWidth="1"/>
    <col min="6" max="6" width="40.77734375" customWidth="1"/>
  </cols>
  <sheetData>
    <row r="1" spans="1:6" ht="52.2" x14ac:dyDescent="0.3">
      <c r="A1" s="146" t="s">
        <v>1132</v>
      </c>
      <c r="F1" s="131"/>
    </row>
    <row r="2" spans="1:6" ht="66.599999999999994" x14ac:dyDescent="0.3">
      <c r="A2" s="47" t="s">
        <v>1133</v>
      </c>
      <c r="F2" s="131"/>
    </row>
    <row r="3" spans="1:6" x14ac:dyDescent="0.3">
      <c r="A3" s="147" t="s">
        <v>72</v>
      </c>
      <c r="F3" s="131"/>
    </row>
    <row r="4" spans="1:6" x14ac:dyDescent="0.3">
      <c r="A4" s="10" t="s">
        <v>624</v>
      </c>
      <c r="B4" s="10" t="s">
        <v>352</v>
      </c>
      <c r="C4" s="10" t="s">
        <v>1134</v>
      </c>
      <c r="D4" s="10" t="s">
        <v>1135</v>
      </c>
      <c r="E4" s="10" t="s">
        <v>1136</v>
      </c>
      <c r="F4" s="10" t="s">
        <v>1137</v>
      </c>
    </row>
    <row r="5" spans="1:6" x14ac:dyDescent="0.3">
      <c r="A5" s="103" t="s">
        <v>1138</v>
      </c>
      <c r="B5" s="51" t="s">
        <v>364</v>
      </c>
      <c r="C5" s="59">
        <v>257</v>
      </c>
      <c r="D5" s="59">
        <v>10</v>
      </c>
      <c r="E5" s="98">
        <v>-247</v>
      </c>
      <c r="F5" s="103" t="s">
        <v>1139</v>
      </c>
    </row>
    <row r="6" spans="1:6" ht="27" x14ac:dyDescent="0.3">
      <c r="A6" s="103" t="s">
        <v>1140</v>
      </c>
      <c r="B6" s="51" t="s">
        <v>392</v>
      </c>
      <c r="C6" s="59">
        <v>289</v>
      </c>
      <c r="D6" s="59">
        <v>85</v>
      </c>
      <c r="E6" s="98">
        <v>-204</v>
      </c>
      <c r="F6" s="103" t="s">
        <v>1141</v>
      </c>
    </row>
    <row r="7" spans="1:6" ht="40.200000000000003" x14ac:dyDescent="0.3">
      <c r="A7" s="103" t="s">
        <v>316</v>
      </c>
      <c r="B7" s="51" t="s">
        <v>386</v>
      </c>
      <c r="C7" s="59">
        <v>364</v>
      </c>
      <c r="D7" s="59">
        <v>107</v>
      </c>
      <c r="E7" s="98">
        <v>-153</v>
      </c>
      <c r="F7" s="103" t="s">
        <v>1142</v>
      </c>
    </row>
    <row r="8" spans="1:6" ht="27" x14ac:dyDescent="0.3">
      <c r="A8" s="104" t="s">
        <v>1143</v>
      </c>
      <c r="B8" s="43" t="s">
        <v>386</v>
      </c>
      <c r="C8" s="35">
        <v>116</v>
      </c>
      <c r="D8" s="35">
        <v>80</v>
      </c>
      <c r="E8" s="84">
        <v>-36</v>
      </c>
      <c r="F8" s="104" t="s">
        <v>1144</v>
      </c>
    </row>
    <row r="9" spans="1:6" ht="27" x14ac:dyDescent="0.3">
      <c r="A9" s="16" t="s">
        <v>1145</v>
      </c>
      <c r="B9" s="29" t="s">
        <v>389</v>
      </c>
      <c r="C9" s="34">
        <v>222</v>
      </c>
      <c r="D9" s="34">
        <v>189</v>
      </c>
      <c r="E9" s="91">
        <v>-4</v>
      </c>
      <c r="F9" s="16" t="s">
        <v>1146</v>
      </c>
    </row>
    <row r="10" spans="1:6" ht="53.4" x14ac:dyDescent="0.3">
      <c r="A10" s="104" t="s">
        <v>626</v>
      </c>
      <c r="B10" s="43" t="s">
        <v>389</v>
      </c>
      <c r="C10" s="35">
        <v>615</v>
      </c>
      <c r="D10" s="35">
        <v>615</v>
      </c>
      <c r="E10" s="84">
        <v>0</v>
      </c>
      <c r="F10" s="104" t="s">
        <v>1147</v>
      </c>
    </row>
    <row r="11" spans="1:6" x14ac:dyDescent="0.3">
      <c r="A11" s="16" t="s">
        <v>1148</v>
      </c>
      <c r="B11" s="29" t="s">
        <v>364</v>
      </c>
      <c r="C11" s="70"/>
      <c r="D11" s="34">
        <v>113</v>
      </c>
      <c r="E11" s="70"/>
      <c r="F11" s="16" t="s">
        <v>1149</v>
      </c>
    </row>
    <row r="12" spans="1:6" ht="27" x14ac:dyDescent="0.3">
      <c r="A12" s="16" t="s">
        <v>1150</v>
      </c>
      <c r="B12" s="29" t="s">
        <v>364</v>
      </c>
      <c r="C12" s="70"/>
      <c r="D12" s="34">
        <v>256</v>
      </c>
      <c r="E12" s="70"/>
      <c r="F12" s="16" t="s">
        <v>1151</v>
      </c>
    </row>
    <row r="13" spans="1:6" ht="27" x14ac:dyDescent="0.3">
      <c r="A13" s="16" t="s">
        <v>1152</v>
      </c>
      <c r="B13" s="29" t="s">
        <v>364</v>
      </c>
      <c r="C13" s="70"/>
      <c r="D13" s="34">
        <v>155</v>
      </c>
      <c r="E13" s="70"/>
      <c r="F13" s="16" t="s">
        <v>1153</v>
      </c>
    </row>
    <row r="14" spans="1:6" ht="27" x14ac:dyDescent="0.3">
      <c r="A14" s="16" t="s">
        <v>1154</v>
      </c>
      <c r="B14" s="29" t="s">
        <v>375</v>
      </c>
      <c r="C14" s="70"/>
      <c r="D14" s="34">
        <v>135</v>
      </c>
      <c r="E14" s="70"/>
      <c r="F14" s="16" t="s">
        <v>1155</v>
      </c>
    </row>
    <row r="15" spans="1:6" ht="27" x14ac:dyDescent="0.3">
      <c r="A15" s="103" t="s">
        <v>277</v>
      </c>
      <c r="B15" s="51" t="s">
        <v>375</v>
      </c>
      <c r="C15" s="105"/>
      <c r="D15" s="105"/>
      <c r="E15" s="105"/>
      <c r="F15" s="103" t="s">
        <v>1156</v>
      </c>
    </row>
    <row r="16" spans="1:6" ht="27" x14ac:dyDescent="0.3">
      <c r="A16" s="16" t="s">
        <v>1157</v>
      </c>
      <c r="B16" s="29" t="s">
        <v>375</v>
      </c>
      <c r="C16" s="70"/>
      <c r="D16" s="70"/>
      <c r="E16" s="70"/>
      <c r="F16" s="16" t="s">
        <v>1158</v>
      </c>
    </row>
    <row r="17" spans="1:6" ht="27" x14ac:dyDescent="0.3">
      <c r="A17" s="16" t="s">
        <v>1159</v>
      </c>
      <c r="B17" s="29" t="s">
        <v>392</v>
      </c>
      <c r="C17" s="70"/>
      <c r="D17" s="34">
        <v>111</v>
      </c>
      <c r="E17" s="70"/>
      <c r="F17" s="16" t="s">
        <v>1160</v>
      </c>
    </row>
    <row r="18" spans="1:6" ht="40.200000000000003" x14ac:dyDescent="0.3">
      <c r="A18" s="103" t="s">
        <v>1161</v>
      </c>
      <c r="B18" s="51" t="s">
        <v>392</v>
      </c>
      <c r="C18" s="105"/>
      <c r="D18" s="59">
        <v>151</v>
      </c>
      <c r="E18" s="105"/>
      <c r="F18" s="103" t="s">
        <v>1162</v>
      </c>
    </row>
    <row r="19" spans="1:6" ht="27" x14ac:dyDescent="0.3">
      <c r="A19" s="16" t="s">
        <v>1163</v>
      </c>
      <c r="B19" s="29" t="s">
        <v>1164</v>
      </c>
      <c r="C19" s="70"/>
      <c r="D19" s="70"/>
      <c r="E19" s="70"/>
      <c r="F19" s="16" t="s">
        <v>1165</v>
      </c>
    </row>
    <row r="20" spans="1:6" x14ac:dyDescent="0.3">
      <c r="A20" s="16" t="s">
        <v>1166</v>
      </c>
      <c r="B20" s="29" t="s">
        <v>392</v>
      </c>
      <c r="C20" s="70"/>
      <c r="D20" s="70"/>
      <c r="E20" s="70"/>
      <c r="F20" s="16" t="s">
        <v>1126</v>
      </c>
    </row>
    <row r="21" spans="1:6" ht="27" x14ac:dyDescent="0.3">
      <c r="A21" s="103" t="s">
        <v>283</v>
      </c>
      <c r="B21" s="51" t="s">
        <v>400</v>
      </c>
      <c r="C21" s="105"/>
      <c r="D21" s="105"/>
      <c r="E21" s="105"/>
      <c r="F21" s="103" t="s">
        <v>1167</v>
      </c>
    </row>
    <row r="22" spans="1:6" x14ac:dyDescent="0.3">
      <c r="A22" s="131"/>
      <c r="F22" s="131"/>
    </row>
    <row r="23" spans="1:6" ht="119.4" x14ac:dyDescent="0.3">
      <c r="A23" s="47" t="s">
        <v>1168</v>
      </c>
      <c r="F23" s="131"/>
    </row>
    <row r="24" spans="1:6" x14ac:dyDescent="0.3">
      <c r="A24" s="131"/>
      <c r="F24" s="131"/>
    </row>
    <row r="25" spans="1:6" ht="53.4" x14ac:dyDescent="0.3">
      <c r="A25" s="47" t="s">
        <v>1169</v>
      </c>
      <c r="F25" s="131"/>
    </row>
  </sheetData>
  <hyperlinks>
    <hyperlink ref="A3" location="'0. HUB'!A1" display="◀ HUB" xr:uid="{00000000-0004-0000-1200-000000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D7D31"/>
  </sheetPr>
  <dimension ref="A1:I68"/>
  <sheetViews>
    <sheetView showGridLines="0" zoomScaleNormal="100" workbookViewId="0"/>
  </sheetViews>
  <sheetFormatPr baseColWidth="10" defaultColWidth="8.6640625" defaultRowHeight="14.4" x14ac:dyDescent="0.3"/>
  <cols>
    <col min="1" max="1" width="40.77734375" customWidth="1"/>
    <col min="2" max="2" width="30.5546875" bestFit="1" customWidth="1"/>
    <col min="3" max="3" width="21.44140625" bestFit="1" customWidth="1"/>
    <col min="4" max="4" width="11.5546875" bestFit="1" customWidth="1"/>
    <col min="5" max="5" width="16.109375" bestFit="1" customWidth="1"/>
    <col min="6" max="6" width="26" bestFit="1" customWidth="1"/>
    <col min="7" max="7" width="13.6640625" bestFit="1" customWidth="1"/>
    <col min="8" max="8" width="16.88671875" bestFit="1" customWidth="1"/>
    <col min="9" max="9" width="21" bestFit="1" customWidth="1"/>
  </cols>
  <sheetData>
    <row r="1" spans="1:9" ht="52.2" x14ac:dyDescent="0.3">
      <c r="A1" s="146" t="s">
        <v>1170</v>
      </c>
    </row>
    <row r="2" spans="1:9" ht="53.4" x14ac:dyDescent="0.3">
      <c r="A2" s="47" t="s">
        <v>1171</v>
      </c>
    </row>
    <row r="3" spans="1:9" ht="40.200000000000003" x14ac:dyDescent="0.3">
      <c r="A3" s="47" t="s">
        <v>1172</v>
      </c>
    </row>
    <row r="4" spans="1:9" x14ac:dyDescent="0.3">
      <c r="A4" s="147" t="s">
        <v>72</v>
      </c>
    </row>
    <row r="5" spans="1:9" x14ac:dyDescent="0.3">
      <c r="A5" s="68" t="s">
        <v>1173</v>
      </c>
    </row>
    <row r="6" spans="1:9" ht="26.4" x14ac:dyDescent="0.3">
      <c r="A6" s="10" t="s">
        <v>465</v>
      </c>
      <c r="B6" s="10" t="s">
        <v>754</v>
      </c>
      <c r="C6" s="10" t="s">
        <v>467</v>
      </c>
      <c r="D6" s="10" t="s">
        <v>1174</v>
      </c>
      <c r="E6" s="10" t="s">
        <v>1175</v>
      </c>
      <c r="F6" s="10" t="s">
        <v>1176</v>
      </c>
      <c r="G6" s="10" t="s">
        <v>1177</v>
      </c>
      <c r="H6" s="10" t="s">
        <v>1064</v>
      </c>
      <c r="I6" s="10" t="s">
        <v>1178</v>
      </c>
    </row>
    <row r="7" spans="1:9" x14ac:dyDescent="0.3">
      <c r="A7" s="16">
        <v>75437618</v>
      </c>
      <c r="B7" s="29" t="s">
        <v>1179</v>
      </c>
      <c r="C7" s="29" t="s">
        <v>477</v>
      </c>
      <c r="D7" s="91">
        <v>0</v>
      </c>
      <c r="E7" s="34">
        <v>0</v>
      </c>
      <c r="F7" s="34">
        <v>0</v>
      </c>
      <c r="G7" s="34">
        <f t="shared" ref="G7:G26" si="0">IF(AND(F7&lt;&gt;"",E7&lt;&gt;""),F7-E7,"")</f>
        <v>0</v>
      </c>
      <c r="H7" s="34">
        <v>0</v>
      </c>
      <c r="I7" s="29"/>
    </row>
    <row r="8" spans="1:9" x14ac:dyDescent="0.3">
      <c r="A8" s="16">
        <v>75437619</v>
      </c>
      <c r="B8" s="29" t="s">
        <v>1180</v>
      </c>
      <c r="C8" s="29" t="s">
        <v>477</v>
      </c>
      <c r="D8" s="91">
        <v>0</v>
      </c>
      <c r="E8" s="34">
        <v>0</v>
      </c>
      <c r="F8" s="34">
        <v>0</v>
      </c>
      <c r="G8" s="34">
        <f t="shared" si="0"/>
        <v>0</v>
      </c>
      <c r="H8" s="34">
        <v>0</v>
      </c>
      <c r="I8" s="29"/>
    </row>
    <row r="9" spans="1:9" x14ac:dyDescent="0.3">
      <c r="A9" s="16">
        <v>75437620</v>
      </c>
      <c r="B9" s="29" t="s">
        <v>1181</v>
      </c>
      <c r="C9" s="29" t="s">
        <v>1182</v>
      </c>
      <c r="D9" s="91">
        <v>0</v>
      </c>
      <c r="E9" s="34">
        <v>0</v>
      </c>
      <c r="F9" s="34"/>
      <c r="G9" s="34" t="str">
        <f t="shared" si="0"/>
        <v/>
      </c>
      <c r="H9" s="34"/>
      <c r="I9" s="29"/>
    </row>
    <row r="10" spans="1:9" x14ac:dyDescent="0.3">
      <c r="A10" s="16">
        <v>75244433</v>
      </c>
      <c r="B10" s="29" t="s">
        <v>1183</v>
      </c>
      <c r="C10" s="29" t="s">
        <v>1182</v>
      </c>
      <c r="D10" s="91">
        <v>0</v>
      </c>
      <c r="E10" s="34">
        <v>0</v>
      </c>
      <c r="F10" s="34"/>
      <c r="G10" s="34" t="str">
        <f t="shared" si="0"/>
        <v/>
      </c>
      <c r="H10" s="34"/>
      <c r="I10" s="29"/>
    </row>
    <row r="11" spans="1:9" x14ac:dyDescent="0.3">
      <c r="A11" s="16">
        <v>75244435</v>
      </c>
      <c r="B11" s="29" t="s">
        <v>1184</v>
      </c>
      <c r="C11" s="29" t="s">
        <v>1182</v>
      </c>
      <c r="D11" s="91">
        <v>0</v>
      </c>
      <c r="E11" s="34">
        <v>0</v>
      </c>
      <c r="F11" s="34"/>
      <c r="G11" s="34" t="str">
        <f t="shared" si="0"/>
        <v/>
      </c>
      <c r="H11" s="34"/>
      <c r="I11" s="29"/>
    </row>
    <row r="12" spans="1:9" x14ac:dyDescent="0.3">
      <c r="A12" s="16">
        <v>75244436</v>
      </c>
      <c r="B12" s="29" t="s">
        <v>1185</v>
      </c>
      <c r="C12" s="29" t="s">
        <v>1182</v>
      </c>
      <c r="D12" s="91">
        <v>0</v>
      </c>
      <c r="E12" s="34">
        <v>0</v>
      </c>
      <c r="F12" s="34"/>
      <c r="G12" s="34" t="str">
        <f t="shared" si="0"/>
        <v/>
      </c>
      <c r="H12" s="34"/>
      <c r="I12" s="29"/>
    </row>
    <row r="13" spans="1:9" x14ac:dyDescent="0.3">
      <c r="A13" s="104">
        <v>75437616</v>
      </c>
      <c r="B13" s="43" t="s">
        <v>1186</v>
      </c>
      <c r="C13" s="43" t="s">
        <v>470</v>
      </c>
      <c r="D13" s="84">
        <v>10</v>
      </c>
      <c r="E13" s="35">
        <v>27</v>
      </c>
      <c r="F13" s="35">
        <v>27</v>
      </c>
      <c r="G13" s="35">
        <f t="shared" si="0"/>
        <v>0</v>
      </c>
      <c r="H13" s="35">
        <v>0</v>
      </c>
      <c r="I13" s="43"/>
    </row>
    <row r="14" spans="1:9" x14ac:dyDescent="0.3">
      <c r="A14" s="103">
        <v>75437615</v>
      </c>
      <c r="B14" s="51" t="s">
        <v>1187</v>
      </c>
      <c r="C14" s="51" t="s">
        <v>477</v>
      </c>
      <c r="D14" s="98">
        <v>0</v>
      </c>
      <c r="E14" s="59">
        <v>20</v>
      </c>
      <c r="F14" s="59">
        <v>20</v>
      </c>
      <c r="G14" s="59">
        <f t="shared" si="0"/>
        <v>0</v>
      </c>
      <c r="H14" s="59">
        <v>0</v>
      </c>
      <c r="I14" s="51" t="s">
        <v>1188</v>
      </c>
    </row>
    <row r="15" spans="1:9" x14ac:dyDescent="0.3">
      <c r="A15" s="103">
        <v>75253329</v>
      </c>
      <c r="B15" s="51" t="s">
        <v>1189</v>
      </c>
      <c r="C15" s="51" t="s">
        <v>480</v>
      </c>
      <c r="D15" s="98">
        <v>0</v>
      </c>
      <c r="E15" s="59">
        <v>2</v>
      </c>
      <c r="F15" s="59">
        <v>2</v>
      </c>
      <c r="G15" s="59">
        <f t="shared" si="0"/>
        <v>0</v>
      </c>
      <c r="H15" s="59">
        <v>0</v>
      </c>
      <c r="I15" s="51"/>
    </row>
    <row r="16" spans="1:9" x14ac:dyDescent="0.3">
      <c r="A16" s="103">
        <v>75437614</v>
      </c>
      <c r="B16" s="51" t="s">
        <v>1190</v>
      </c>
      <c r="C16" s="51" t="s">
        <v>470</v>
      </c>
      <c r="D16" s="98">
        <v>0</v>
      </c>
      <c r="E16" s="59">
        <v>27</v>
      </c>
      <c r="F16" s="59">
        <v>27</v>
      </c>
      <c r="G16" s="59">
        <f t="shared" si="0"/>
        <v>0</v>
      </c>
      <c r="H16" s="59">
        <v>0</v>
      </c>
      <c r="I16" s="51"/>
    </row>
    <row r="17" spans="1:9" x14ac:dyDescent="0.3">
      <c r="A17" s="16">
        <v>75437617</v>
      </c>
      <c r="B17" s="29" t="s">
        <v>1191</v>
      </c>
      <c r="C17" s="29" t="s">
        <v>477</v>
      </c>
      <c r="D17" s="91">
        <v>0</v>
      </c>
      <c r="E17" s="34">
        <v>0</v>
      </c>
      <c r="F17" s="34">
        <v>0</v>
      </c>
      <c r="G17" s="34">
        <f t="shared" si="0"/>
        <v>0</v>
      </c>
      <c r="H17" s="34">
        <v>0</v>
      </c>
      <c r="I17" s="29"/>
    </row>
    <row r="18" spans="1:9" x14ac:dyDescent="0.3">
      <c r="A18" s="103">
        <v>75437613</v>
      </c>
      <c r="B18" s="51" t="s">
        <v>1192</v>
      </c>
      <c r="C18" s="51" t="s">
        <v>477</v>
      </c>
      <c r="D18" s="98">
        <v>0</v>
      </c>
      <c r="E18" s="59">
        <v>13</v>
      </c>
      <c r="F18" s="59">
        <v>19</v>
      </c>
      <c r="G18" s="59">
        <f t="shared" si="0"/>
        <v>6</v>
      </c>
      <c r="H18" s="59">
        <v>0</v>
      </c>
      <c r="I18" s="51"/>
    </row>
    <row r="19" spans="1:9" x14ac:dyDescent="0.3">
      <c r="A19" s="103">
        <v>75437612</v>
      </c>
      <c r="B19" s="51" t="s">
        <v>1193</v>
      </c>
      <c r="C19" s="51" t="s">
        <v>477</v>
      </c>
      <c r="D19" s="98">
        <v>0</v>
      </c>
      <c r="E19" s="59">
        <v>20</v>
      </c>
      <c r="F19" s="59">
        <v>20</v>
      </c>
      <c r="G19" s="59">
        <f t="shared" si="0"/>
        <v>0</v>
      </c>
      <c r="H19" s="59">
        <v>0</v>
      </c>
      <c r="I19" s="51"/>
    </row>
    <row r="20" spans="1:9" x14ac:dyDescent="0.3">
      <c r="A20" s="103">
        <v>75437610</v>
      </c>
      <c r="B20" s="51" t="s">
        <v>1194</v>
      </c>
      <c r="C20" s="51" t="s">
        <v>470</v>
      </c>
      <c r="D20" s="98">
        <v>0</v>
      </c>
      <c r="E20" s="59">
        <v>31</v>
      </c>
      <c r="F20" s="59">
        <v>31</v>
      </c>
      <c r="G20" s="59">
        <f t="shared" si="0"/>
        <v>0</v>
      </c>
      <c r="H20" s="59">
        <v>0</v>
      </c>
      <c r="I20" s="51"/>
    </row>
    <row r="21" spans="1:9" x14ac:dyDescent="0.3">
      <c r="A21" s="103">
        <v>75214932</v>
      </c>
      <c r="B21" s="51" t="s">
        <v>1195</v>
      </c>
      <c r="C21" s="51" t="s">
        <v>480</v>
      </c>
      <c r="D21" s="98">
        <v>0</v>
      </c>
      <c r="E21" s="59">
        <v>26</v>
      </c>
      <c r="F21" s="59">
        <v>26</v>
      </c>
      <c r="G21" s="59">
        <f t="shared" si="0"/>
        <v>0</v>
      </c>
      <c r="H21" s="59">
        <v>0</v>
      </c>
      <c r="I21" s="51"/>
    </row>
    <row r="22" spans="1:9" x14ac:dyDescent="0.3">
      <c r="A22" s="103">
        <v>75214930</v>
      </c>
      <c r="B22" s="51" t="s">
        <v>1196</v>
      </c>
      <c r="C22" s="51" t="s">
        <v>470</v>
      </c>
      <c r="D22" s="98">
        <v>0</v>
      </c>
      <c r="E22" s="59">
        <v>61</v>
      </c>
      <c r="F22" s="59">
        <v>60</v>
      </c>
      <c r="G22" s="59">
        <f t="shared" si="0"/>
        <v>-1</v>
      </c>
      <c r="H22" s="59">
        <v>1</v>
      </c>
      <c r="I22" s="51"/>
    </row>
    <row r="23" spans="1:9" x14ac:dyDescent="0.3">
      <c r="A23" s="16">
        <v>75244431</v>
      </c>
      <c r="B23" s="29" t="s">
        <v>1197</v>
      </c>
      <c r="C23" s="29" t="s">
        <v>1182</v>
      </c>
      <c r="D23" s="91">
        <v>0</v>
      </c>
      <c r="E23" s="34">
        <v>0</v>
      </c>
      <c r="F23" s="34"/>
      <c r="G23" s="34" t="str">
        <f t="shared" si="0"/>
        <v/>
      </c>
      <c r="H23" s="34"/>
      <c r="I23" s="29"/>
    </row>
    <row r="24" spans="1:9" x14ac:dyDescent="0.3">
      <c r="A24" s="16">
        <v>75253328</v>
      </c>
      <c r="B24" s="29" t="s">
        <v>1198</v>
      </c>
      <c r="C24" s="29" t="s">
        <v>480</v>
      </c>
      <c r="D24" s="91">
        <v>0</v>
      </c>
      <c r="E24" s="34">
        <v>0</v>
      </c>
      <c r="F24" s="34">
        <v>10</v>
      </c>
      <c r="G24" s="34">
        <f t="shared" si="0"/>
        <v>10</v>
      </c>
      <c r="H24" s="34">
        <v>0</v>
      </c>
      <c r="I24" s="29" t="s">
        <v>1199</v>
      </c>
    </row>
    <row r="25" spans="1:9" x14ac:dyDescent="0.3">
      <c r="A25" s="103">
        <v>75437623</v>
      </c>
      <c r="B25" s="51" t="s">
        <v>1200</v>
      </c>
      <c r="C25" s="51" t="s">
        <v>470</v>
      </c>
      <c r="D25" s="98">
        <v>0</v>
      </c>
      <c r="E25" s="59">
        <v>10</v>
      </c>
      <c r="F25" s="59">
        <v>20</v>
      </c>
      <c r="G25" s="59">
        <f t="shared" si="0"/>
        <v>10</v>
      </c>
      <c r="H25" s="59">
        <v>0</v>
      </c>
      <c r="I25" s="51"/>
    </row>
    <row r="26" spans="1:9" x14ac:dyDescent="0.3">
      <c r="A26" s="103">
        <v>75437621</v>
      </c>
      <c r="B26" s="51" t="s">
        <v>1201</v>
      </c>
      <c r="C26" s="51" t="s">
        <v>470</v>
      </c>
      <c r="D26" s="98">
        <v>0</v>
      </c>
      <c r="E26" s="59">
        <v>20</v>
      </c>
      <c r="F26" s="59">
        <v>187</v>
      </c>
      <c r="G26" s="59">
        <f t="shared" si="0"/>
        <v>167</v>
      </c>
      <c r="H26" s="59">
        <v>2</v>
      </c>
      <c r="I26" s="51" t="s">
        <v>1188</v>
      </c>
    </row>
    <row r="27" spans="1:9" x14ac:dyDescent="0.3">
      <c r="A27" s="131"/>
      <c r="B27" s="9" t="s">
        <v>1202</v>
      </c>
      <c r="D27" s="49">
        <f>SUM(D7:D26)</f>
        <v>10</v>
      </c>
      <c r="E27" s="49">
        <f>SUM(E7:E26)</f>
        <v>257</v>
      </c>
      <c r="F27" s="49">
        <f>SUM(F7:F26)</f>
        <v>449</v>
      </c>
      <c r="H27" s="49">
        <f>SUM(H7:H26)</f>
        <v>3</v>
      </c>
    </row>
    <row r="28" spans="1:9" x14ac:dyDescent="0.3">
      <c r="A28" s="131"/>
      <c r="B28" s="9" t="s">
        <v>1203</v>
      </c>
      <c r="D28" s="106">
        <f>D27/F27</f>
        <v>2.2271714922048998E-2</v>
      </c>
      <c r="F28" s="8" t="s">
        <v>1204</v>
      </c>
    </row>
    <row r="29" spans="1:9" x14ac:dyDescent="0.3">
      <c r="A29" s="131"/>
      <c r="B29" s="9" t="s">
        <v>1205</v>
      </c>
      <c r="D29" s="91">
        <f>COUNTIF(D7:D26,0)</f>
        <v>19</v>
      </c>
      <c r="F29" s="8" t="str">
        <f>COUNTA(D7:D26)&amp;" SKUs reportados"</f>
        <v>20 SKUs reportados</v>
      </c>
    </row>
    <row r="30" spans="1:9" x14ac:dyDescent="0.3">
      <c r="A30" s="131"/>
    </row>
    <row r="31" spans="1:9" x14ac:dyDescent="0.3">
      <c r="A31" s="68" t="s">
        <v>1206</v>
      </c>
    </row>
    <row r="32" spans="1:9" x14ac:dyDescent="0.3">
      <c r="A32" s="10" t="s">
        <v>465</v>
      </c>
      <c r="B32" s="10" t="s">
        <v>754</v>
      </c>
      <c r="C32" s="10" t="s">
        <v>467</v>
      </c>
      <c r="D32" s="10" t="s">
        <v>1174</v>
      </c>
      <c r="E32" s="10" t="s">
        <v>1176</v>
      </c>
      <c r="F32" s="10" t="s">
        <v>1207</v>
      </c>
      <c r="G32" s="10" t="s">
        <v>1064</v>
      </c>
      <c r="H32" s="10" t="s">
        <v>1208</v>
      </c>
      <c r="I32" s="10" t="s">
        <v>1209</v>
      </c>
    </row>
    <row r="33" spans="1:9" x14ac:dyDescent="0.3">
      <c r="A33" s="16">
        <v>75437618</v>
      </c>
      <c r="B33" s="29" t="s">
        <v>1179</v>
      </c>
      <c r="C33" s="29" t="s">
        <v>1182</v>
      </c>
      <c r="D33" s="91">
        <v>0</v>
      </c>
      <c r="E33" s="34"/>
      <c r="F33" s="34" t="str">
        <f t="shared" ref="F33:F52" si="1">IF(E33&lt;&gt;"",D33-E33,"")</f>
        <v/>
      </c>
      <c r="G33" s="34"/>
      <c r="H33" s="29" t="s">
        <v>1210</v>
      </c>
      <c r="I33" s="29"/>
    </row>
    <row r="34" spans="1:9" x14ac:dyDescent="0.3">
      <c r="A34" s="16">
        <v>75437619</v>
      </c>
      <c r="B34" s="29" t="s">
        <v>1180</v>
      </c>
      <c r="C34" s="29" t="s">
        <v>1182</v>
      </c>
      <c r="D34" s="91">
        <v>0</v>
      </c>
      <c r="E34" s="34"/>
      <c r="F34" s="34" t="str">
        <f t="shared" si="1"/>
        <v/>
      </c>
      <c r="G34" s="34"/>
      <c r="H34" s="29" t="s">
        <v>1210</v>
      </c>
      <c r="I34" s="29"/>
    </row>
    <row r="35" spans="1:9" x14ac:dyDescent="0.3">
      <c r="A35" s="16">
        <v>75437620</v>
      </c>
      <c r="B35" s="29" t="s">
        <v>1181</v>
      </c>
      <c r="C35" s="29" t="s">
        <v>1182</v>
      </c>
      <c r="D35" s="91">
        <v>0</v>
      </c>
      <c r="E35" s="34"/>
      <c r="F35" s="34" t="str">
        <f t="shared" si="1"/>
        <v/>
      </c>
      <c r="G35" s="34"/>
      <c r="H35" s="29" t="s">
        <v>1210</v>
      </c>
      <c r="I35" s="29"/>
    </row>
    <row r="36" spans="1:9" x14ac:dyDescent="0.3">
      <c r="A36" s="159">
        <v>75244433</v>
      </c>
      <c r="B36" s="45" t="s">
        <v>1183</v>
      </c>
      <c r="C36" s="45" t="s">
        <v>1182</v>
      </c>
      <c r="D36" s="107">
        <v>0</v>
      </c>
      <c r="E36" s="95"/>
      <c r="F36" s="95" t="str">
        <f t="shared" si="1"/>
        <v/>
      </c>
      <c r="G36" s="95"/>
      <c r="H36" s="45" t="s">
        <v>1210</v>
      </c>
      <c r="I36" s="45" t="s">
        <v>1211</v>
      </c>
    </row>
    <row r="37" spans="1:9" x14ac:dyDescent="0.3">
      <c r="A37" s="16">
        <v>75244435</v>
      </c>
      <c r="B37" s="29" t="s">
        <v>1184</v>
      </c>
      <c r="C37" s="29" t="s">
        <v>1182</v>
      </c>
      <c r="D37" s="91">
        <v>0</v>
      </c>
      <c r="E37" s="34"/>
      <c r="F37" s="34" t="str">
        <f t="shared" si="1"/>
        <v/>
      </c>
      <c r="G37" s="34"/>
      <c r="H37" s="29" t="s">
        <v>1210</v>
      </c>
      <c r="I37" s="29"/>
    </row>
    <row r="38" spans="1:9" x14ac:dyDescent="0.3">
      <c r="A38" s="16">
        <v>75244436</v>
      </c>
      <c r="B38" s="29" t="s">
        <v>1185</v>
      </c>
      <c r="C38" s="29" t="s">
        <v>1182</v>
      </c>
      <c r="D38" s="91">
        <v>0</v>
      </c>
      <c r="E38" s="34"/>
      <c r="F38" s="34" t="str">
        <f t="shared" si="1"/>
        <v/>
      </c>
      <c r="G38" s="34"/>
      <c r="H38" s="29" t="s">
        <v>1210</v>
      </c>
      <c r="I38" s="29"/>
    </row>
    <row r="39" spans="1:9" x14ac:dyDescent="0.3">
      <c r="A39" s="104">
        <v>75437616</v>
      </c>
      <c r="B39" s="43" t="s">
        <v>1186</v>
      </c>
      <c r="C39" s="43" t="s">
        <v>470</v>
      </c>
      <c r="D39" s="84">
        <v>24</v>
      </c>
      <c r="E39" s="35">
        <v>24</v>
      </c>
      <c r="F39" s="35">
        <f t="shared" si="1"/>
        <v>0</v>
      </c>
      <c r="G39" s="35">
        <v>0</v>
      </c>
      <c r="H39" s="43" t="s">
        <v>1212</v>
      </c>
      <c r="I39" s="43"/>
    </row>
    <row r="40" spans="1:9" x14ac:dyDescent="0.3">
      <c r="A40" s="16">
        <v>75437615</v>
      </c>
      <c r="B40" s="29" t="s">
        <v>1187</v>
      </c>
      <c r="C40" s="29" t="s">
        <v>1182</v>
      </c>
      <c r="D40" s="91">
        <v>0</v>
      </c>
      <c r="E40" s="34"/>
      <c r="F40" s="34" t="str">
        <f t="shared" si="1"/>
        <v/>
      </c>
      <c r="G40" s="34"/>
      <c r="H40" s="29" t="s">
        <v>1210</v>
      </c>
      <c r="I40" s="29"/>
    </row>
    <row r="41" spans="1:9" x14ac:dyDescent="0.3">
      <c r="A41" s="16">
        <v>75253329</v>
      </c>
      <c r="B41" s="29" t="s">
        <v>1189</v>
      </c>
      <c r="C41" s="29" t="s">
        <v>1182</v>
      </c>
      <c r="D41" s="91">
        <v>0</v>
      </c>
      <c r="E41" s="34"/>
      <c r="F41" s="34" t="str">
        <f t="shared" si="1"/>
        <v/>
      </c>
      <c r="G41" s="34"/>
      <c r="H41" s="29" t="s">
        <v>1210</v>
      </c>
      <c r="I41" s="29"/>
    </row>
    <row r="42" spans="1:9" x14ac:dyDescent="0.3">
      <c r="A42" s="104">
        <v>75437614</v>
      </c>
      <c r="B42" s="43" t="s">
        <v>1190</v>
      </c>
      <c r="C42" s="43" t="s">
        <v>470</v>
      </c>
      <c r="D42" s="84">
        <v>1</v>
      </c>
      <c r="E42" s="35">
        <v>1</v>
      </c>
      <c r="F42" s="35">
        <f t="shared" si="1"/>
        <v>0</v>
      </c>
      <c r="G42" s="35">
        <v>2</v>
      </c>
      <c r="H42" s="43" t="s">
        <v>1213</v>
      </c>
      <c r="I42" s="43"/>
    </row>
    <row r="43" spans="1:9" x14ac:dyDescent="0.3">
      <c r="A43" s="16">
        <v>75437617</v>
      </c>
      <c r="B43" s="29" t="s">
        <v>1191</v>
      </c>
      <c r="C43" s="29" t="s">
        <v>1182</v>
      </c>
      <c r="D43" s="91">
        <v>0</v>
      </c>
      <c r="E43" s="34"/>
      <c r="F43" s="34" t="str">
        <f t="shared" si="1"/>
        <v/>
      </c>
      <c r="G43" s="34"/>
      <c r="H43" s="29" t="s">
        <v>1210</v>
      </c>
      <c r="I43" s="29"/>
    </row>
    <row r="44" spans="1:9" x14ac:dyDescent="0.3">
      <c r="A44" s="104">
        <v>75437612</v>
      </c>
      <c r="B44" s="43" t="s">
        <v>1193</v>
      </c>
      <c r="C44" s="43" t="s">
        <v>477</v>
      </c>
      <c r="D44" s="84">
        <v>16</v>
      </c>
      <c r="E44" s="35">
        <v>15</v>
      </c>
      <c r="F44" s="35">
        <f t="shared" si="1"/>
        <v>1</v>
      </c>
      <c r="G44" s="35">
        <v>0</v>
      </c>
      <c r="H44" s="43" t="s">
        <v>1214</v>
      </c>
      <c r="I44" s="43"/>
    </row>
    <row r="45" spans="1:9" x14ac:dyDescent="0.3">
      <c r="A45" s="104">
        <v>75437613</v>
      </c>
      <c r="B45" s="43" t="s">
        <v>1192</v>
      </c>
      <c r="C45" s="43" t="s">
        <v>477</v>
      </c>
      <c r="D45" s="84">
        <v>8</v>
      </c>
      <c r="E45" s="35">
        <v>7</v>
      </c>
      <c r="F45" s="35">
        <f t="shared" si="1"/>
        <v>1</v>
      </c>
      <c r="G45" s="35">
        <v>3</v>
      </c>
      <c r="H45" s="43" t="s">
        <v>1215</v>
      </c>
      <c r="I45" s="43"/>
    </row>
    <row r="46" spans="1:9" x14ac:dyDescent="0.3">
      <c r="A46" s="104">
        <v>75437610</v>
      </c>
      <c r="B46" s="43" t="s">
        <v>1194</v>
      </c>
      <c r="C46" s="43" t="s">
        <v>470</v>
      </c>
      <c r="D46" s="84">
        <v>21</v>
      </c>
      <c r="E46" s="35">
        <v>21</v>
      </c>
      <c r="F46" s="35">
        <f t="shared" si="1"/>
        <v>0</v>
      </c>
      <c r="G46" s="35">
        <v>0</v>
      </c>
      <c r="H46" s="43" t="s">
        <v>1213</v>
      </c>
      <c r="I46" s="43"/>
    </row>
    <row r="47" spans="1:9" x14ac:dyDescent="0.3">
      <c r="A47" s="16">
        <v>75124932</v>
      </c>
      <c r="B47" s="29" t="s">
        <v>1195</v>
      </c>
      <c r="C47" s="29" t="s">
        <v>1182</v>
      </c>
      <c r="D47" s="91">
        <v>0</v>
      </c>
      <c r="E47" s="34"/>
      <c r="F47" s="34" t="str">
        <f t="shared" si="1"/>
        <v/>
      </c>
      <c r="G47" s="34"/>
      <c r="H47" s="29" t="s">
        <v>1210</v>
      </c>
      <c r="I47" s="29"/>
    </row>
    <row r="48" spans="1:9" x14ac:dyDescent="0.3">
      <c r="A48" s="104">
        <v>75214930</v>
      </c>
      <c r="B48" s="43" t="s">
        <v>1196</v>
      </c>
      <c r="C48" s="43" t="s">
        <v>470</v>
      </c>
      <c r="D48" s="84">
        <v>12</v>
      </c>
      <c r="E48" s="35">
        <v>12</v>
      </c>
      <c r="F48" s="35">
        <f t="shared" si="1"/>
        <v>0</v>
      </c>
      <c r="G48" s="35">
        <v>1</v>
      </c>
      <c r="H48" s="43" t="s">
        <v>1216</v>
      </c>
      <c r="I48" s="43"/>
    </row>
    <row r="49" spans="1:9" x14ac:dyDescent="0.3">
      <c r="A49" s="159">
        <v>75244431</v>
      </c>
      <c r="B49" s="45" t="s">
        <v>1197</v>
      </c>
      <c r="C49" s="45" t="s">
        <v>1182</v>
      </c>
      <c r="D49" s="107">
        <v>0</v>
      </c>
      <c r="E49" s="95"/>
      <c r="F49" s="95" t="str">
        <f t="shared" si="1"/>
        <v/>
      </c>
      <c r="G49" s="95"/>
      <c r="H49" s="45" t="s">
        <v>1210</v>
      </c>
      <c r="I49" s="45" t="s">
        <v>1211</v>
      </c>
    </row>
    <row r="50" spans="1:9" x14ac:dyDescent="0.3">
      <c r="A50" s="159">
        <v>75253328</v>
      </c>
      <c r="B50" s="45" t="s">
        <v>1198</v>
      </c>
      <c r="C50" s="45" t="s">
        <v>480</v>
      </c>
      <c r="D50" s="107">
        <v>17</v>
      </c>
      <c r="E50" s="95">
        <v>16</v>
      </c>
      <c r="F50" s="95">
        <f t="shared" si="1"/>
        <v>1</v>
      </c>
      <c r="G50" s="95">
        <v>1</v>
      </c>
      <c r="H50" s="45" t="s">
        <v>1210</v>
      </c>
      <c r="I50" s="45" t="s">
        <v>1211</v>
      </c>
    </row>
    <row r="51" spans="1:9" x14ac:dyDescent="0.3">
      <c r="A51" s="104">
        <v>75437623</v>
      </c>
      <c r="B51" s="43" t="s">
        <v>1200</v>
      </c>
      <c r="C51" s="43" t="s">
        <v>470</v>
      </c>
      <c r="D51" s="84">
        <v>10</v>
      </c>
      <c r="E51" s="35">
        <v>8</v>
      </c>
      <c r="F51" s="35">
        <f t="shared" si="1"/>
        <v>2</v>
      </c>
      <c r="G51" s="35">
        <v>3</v>
      </c>
      <c r="H51" s="43" t="s">
        <v>1217</v>
      </c>
      <c r="I51" s="43"/>
    </row>
    <row r="52" spans="1:9" x14ac:dyDescent="0.3">
      <c r="A52" s="104">
        <v>75437621</v>
      </c>
      <c r="B52" s="43" t="s">
        <v>1201</v>
      </c>
      <c r="C52" s="43" t="s">
        <v>470</v>
      </c>
      <c r="D52" s="84">
        <v>46</v>
      </c>
      <c r="E52" s="35">
        <v>38</v>
      </c>
      <c r="F52" s="35">
        <f t="shared" si="1"/>
        <v>8</v>
      </c>
      <c r="G52" s="35">
        <v>11</v>
      </c>
      <c r="H52" s="43" t="s">
        <v>1215</v>
      </c>
      <c r="I52" s="43"/>
    </row>
    <row r="53" spans="1:9" x14ac:dyDescent="0.3">
      <c r="A53" s="131"/>
      <c r="B53" s="9" t="s">
        <v>1218</v>
      </c>
      <c r="D53" s="49">
        <f>SUM(D33:D52)</f>
        <v>155</v>
      </c>
      <c r="E53" s="49">
        <f>SUM(E33:E52)</f>
        <v>142</v>
      </c>
      <c r="G53" s="49">
        <f>SUM(G33:G52)</f>
        <v>21</v>
      </c>
    </row>
    <row r="54" spans="1:9" x14ac:dyDescent="0.3">
      <c r="A54" s="131"/>
    </row>
    <row r="55" spans="1:9" ht="27" x14ac:dyDescent="0.3">
      <c r="A55" s="68" t="s">
        <v>1219</v>
      </c>
    </row>
    <row r="56" spans="1:9" x14ac:dyDescent="0.3">
      <c r="A56" s="151" t="s">
        <v>624</v>
      </c>
      <c r="B56" s="67" t="s">
        <v>1048</v>
      </c>
      <c r="C56" s="67" t="s">
        <v>1220</v>
      </c>
      <c r="D56" s="67" t="s">
        <v>1221</v>
      </c>
      <c r="E56" s="67" t="s">
        <v>985</v>
      </c>
      <c r="F56" s="67" t="s">
        <v>1051</v>
      </c>
    </row>
    <row r="57" spans="1:9" x14ac:dyDescent="0.3">
      <c r="A57" s="140" t="s">
        <v>512</v>
      </c>
      <c r="B57" s="35">
        <v>9</v>
      </c>
      <c r="C57" s="35">
        <v>6</v>
      </c>
      <c r="D57" s="37">
        <f>C57/B57</f>
        <v>0.66666666666666663</v>
      </c>
      <c r="E57" s="35">
        <v>142</v>
      </c>
      <c r="F57" s="31">
        <v>670.72</v>
      </c>
    </row>
    <row r="58" spans="1:9" x14ac:dyDescent="0.3">
      <c r="A58" s="140" t="s">
        <v>509</v>
      </c>
      <c r="B58" s="35">
        <v>7</v>
      </c>
      <c r="C58" s="35">
        <v>5</v>
      </c>
      <c r="D58" s="37">
        <f>C58/B58</f>
        <v>0.7142857142857143</v>
      </c>
      <c r="E58" s="35">
        <v>180</v>
      </c>
      <c r="F58" s="31">
        <v>502.44</v>
      </c>
    </row>
    <row r="59" spans="1:9" x14ac:dyDescent="0.3">
      <c r="A59" s="162" t="s">
        <v>544</v>
      </c>
      <c r="B59" s="59">
        <v>15</v>
      </c>
      <c r="C59" s="59">
        <v>2</v>
      </c>
      <c r="D59" s="53">
        <f>C59/B59</f>
        <v>0.13333333333333333</v>
      </c>
      <c r="E59" s="59">
        <v>449</v>
      </c>
      <c r="F59" s="52">
        <v>106.25</v>
      </c>
    </row>
    <row r="60" spans="1:9" x14ac:dyDescent="0.3">
      <c r="A60" s="148" t="s">
        <v>1222</v>
      </c>
      <c r="B60" s="34">
        <v>11.1</v>
      </c>
      <c r="C60" s="34">
        <v>2.9</v>
      </c>
      <c r="D60" s="36">
        <f>C60/B60</f>
        <v>0.26126126126126126</v>
      </c>
      <c r="E60" s="34">
        <v>242</v>
      </c>
      <c r="F60" s="30">
        <v>258.12625000000003</v>
      </c>
    </row>
    <row r="61" spans="1:9" x14ac:dyDescent="0.3">
      <c r="A61" s="131"/>
    </row>
    <row r="62" spans="1:9" ht="66.599999999999994" x14ac:dyDescent="0.3">
      <c r="A62" s="47" t="s">
        <v>1223</v>
      </c>
    </row>
    <row r="63" spans="1:9" ht="93" x14ac:dyDescent="0.3">
      <c r="A63" s="47" t="s">
        <v>1224</v>
      </c>
    </row>
    <row r="64" spans="1:9" ht="66.599999999999994" x14ac:dyDescent="0.3">
      <c r="A64" s="47" t="s">
        <v>1225</v>
      </c>
    </row>
    <row r="65" spans="1:1" ht="66.599999999999994" x14ac:dyDescent="0.3">
      <c r="A65" s="47" t="s">
        <v>1226</v>
      </c>
    </row>
    <row r="66" spans="1:1" ht="79.8" x14ac:dyDescent="0.3">
      <c r="A66" s="47" t="s">
        <v>1227</v>
      </c>
    </row>
    <row r="67" spans="1:1" ht="79.8" x14ac:dyDescent="0.3">
      <c r="A67" s="47" t="s">
        <v>1228</v>
      </c>
    </row>
    <row r="68" spans="1:1" ht="79.8" x14ac:dyDescent="0.3">
      <c r="A68" s="47" t="s">
        <v>1229</v>
      </c>
    </row>
  </sheetData>
  <hyperlinks>
    <hyperlink ref="A4" location="'0. HUB'!A1" display="◀ HUB" xr:uid="{00000000-0004-0000-1300-000000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D7D31"/>
  </sheetPr>
  <dimension ref="A1:L45"/>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8.6640625" defaultRowHeight="14.4" x14ac:dyDescent="0.3"/>
  <cols>
    <col min="1" max="1" width="40.77734375" customWidth="1"/>
    <col min="2" max="2" width="6.77734375" bestFit="1" customWidth="1"/>
    <col min="3" max="3" width="30.109375" bestFit="1" customWidth="1"/>
    <col min="4" max="4" width="8.21875" bestFit="1" customWidth="1"/>
    <col min="5" max="5" width="8.88671875" bestFit="1" customWidth="1"/>
    <col min="6" max="6" width="9.21875" bestFit="1" customWidth="1"/>
    <col min="7" max="7" width="12.77734375" bestFit="1" customWidth="1"/>
    <col min="8" max="8" width="9" bestFit="1" customWidth="1"/>
    <col min="9" max="9" width="11.21875" bestFit="1" customWidth="1"/>
    <col min="10" max="10" width="13.88671875" bestFit="1" customWidth="1"/>
    <col min="11" max="11" width="8.5546875" bestFit="1" customWidth="1"/>
    <col min="12" max="12" width="6.33203125" bestFit="1" customWidth="1"/>
  </cols>
  <sheetData>
    <row r="1" spans="1:12" ht="52.2" x14ac:dyDescent="0.3">
      <c r="A1" s="146" t="s">
        <v>1230</v>
      </c>
    </row>
    <row r="2" spans="1:12" ht="40.200000000000003" x14ac:dyDescent="0.3">
      <c r="A2" s="47" t="s">
        <v>1231</v>
      </c>
    </row>
    <row r="3" spans="1:12" x14ac:dyDescent="0.3">
      <c r="A3" s="147" t="s">
        <v>72</v>
      </c>
    </row>
    <row r="4" spans="1:12" ht="39.6" x14ac:dyDescent="0.3">
      <c r="A4" s="10" t="s">
        <v>195</v>
      </c>
      <c r="B4" s="10" t="s">
        <v>624</v>
      </c>
      <c r="C4" s="10" t="s">
        <v>507</v>
      </c>
      <c r="D4" s="10" t="s">
        <v>1048</v>
      </c>
      <c r="E4" s="10" t="s">
        <v>1232</v>
      </c>
      <c r="F4" s="10" t="s">
        <v>1221</v>
      </c>
      <c r="G4" s="10" t="s">
        <v>1233</v>
      </c>
      <c r="H4" s="10" t="s">
        <v>1234</v>
      </c>
      <c r="I4" s="10" t="s">
        <v>1235</v>
      </c>
      <c r="J4" s="10" t="s">
        <v>1236</v>
      </c>
      <c r="K4" s="10" t="s">
        <v>1237</v>
      </c>
      <c r="L4" s="10" t="s">
        <v>1238</v>
      </c>
    </row>
    <row r="5" spans="1:12" x14ac:dyDescent="0.3">
      <c r="A5" s="103">
        <v>1</v>
      </c>
      <c r="B5" s="51">
        <v>419</v>
      </c>
      <c r="C5" s="51" t="s">
        <v>534</v>
      </c>
      <c r="D5" s="59">
        <v>13</v>
      </c>
      <c r="E5" s="59">
        <v>11</v>
      </c>
      <c r="F5" s="53">
        <f t="shared" ref="F5:F44" si="0">(D5-E5)/D5</f>
        <v>0.15384615384615385</v>
      </c>
      <c r="G5" s="59">
        <v>166</v>
      </c>
      <c r="H5" s="52">
        <v>5442.81</v>
      </c>
      <c r="I5" s="52">
        <v>52.45</v>
      </c>
      <c r="J5" s="52">
        <v>936</v>
      </c>
      <c r="K5" s="53">
        <f>SUM($J$5:J5)/$J$45</f>
        <v>4.2743629555210522E-2</v>
      </c>
      <c r="L5" s="56" t="s">
        <v>1239</v>
      </c>
    </row>
    <row r="6" spans="1:12" x14ac:dyDescent="0.3">
      <c r="A6" s="103">
        <v>2</v>
      </c>
      <c r="B6" s="51">
        <v>4412</v>
      </c>
      <c r="C6" s="51" t="s">
        <v>538</v>
      </c>
      <c r="D6" s="59">
        <v>16</v>
      </c>
      <c r="E6" s="59">
        <v>14</v>
      </c>
      <c r="F6" s="53">
        <f t="shared" si="0"/>
        <v>0.125</v>
      </c>
      <c r="G6" s="59">
        <v>420</v>
      </c>
      <c r="H6" s="52">
        <v>10548.87</v>
      </c>
      <c r="I6" s="52">
        <v>366.24</v>
      </c>
      <c r="J6" s="52">
        <v>829</v>
      </c>
      <c r="K6" s="53">
        <f>SUM($J$5:J6)/$J$45</f>
        <v>8.0600968124942912E-2</v>
      </c>
      <c r="L6" s="56" t="s">
        <v>1239</v>
      </c>
    </row>
    <row r="7" spans="1:12" x14ac:dyDescent="0.3">
      <c r="A7" s="103">
        <v>3</v>
      </c>
      <c r="B7" s="51">
        <v>344</v>
      </c>
      <c r="C7" s="51" t="s">
        <v>535</v>
      </c>
      <c r="D7" s="59">
        <v>11</v>
      </c>
      <c r="E7" s="59">
        <v>9</v>
      </c>
      <c r="F7" s="53">
        <f t="shared" si="0"/>
        <v>0.18181818181818182</v>
      </c>
      <c r="G7" s="59">
        <v>186</v>
      </c>
      <c r="H7" s="52">
        <v>5648.81</v>
      </c>
      <c r="I7" s="52">
        <v>0</v>
      </c>
      <c r="J7" s="52">
        <v>824</v>
      </c>
      <c r="K7" s="53">
        <f>SUM($J$5:J7)/$J$45</f>
        <v>0.11822997534021372</v>
      </c>
      <c r="L7" s="56" t="s">
        <v>1239</v>
      </c>
    </row>
    <row r="8" spans="1:12" x14ac:dyDescent="0.3">
      <c r="A8" s="103">
        <v>4</v>
      </c>
      <c r="B8" s="51">
        <v>21</v>
      </c>
      <c r="C8" s="51" t="s">
        <v>550</v>
      </c>
      <c r="D8" s="59">
        <v>13</v>
      </c>
      <c r="E8" s="59">
        <v>11</v>
      </c>
      <c r="F8" s="53">
        <f t="shared" si="0"/>
        <v>0.15384615384615385</v>
      </c>
      <c r="G8" s="59">
        <v>230</v>
      </c>
      <c r="H8" s="52">
        <v>6015.43</v>
      </c>
      <c r="I8" s="52">
        <v>119.92</v>
      </c>
      <c r="J8" s="52">
        <v>811</v>
      </c>
      <c r="K8" s="53">
        <f>SUM($J$5:J8)/$J$45</f>
        <v>0.15526532103388438</v>
      </c>
      <c r="L8" s="56" t="s">
        <v>1239</v>
      </c>
    </row>
    <row r="9" spans="1:12" x14ac:dyDescent="0.3">
      <c r="A9" s="103">
        <v>5</v>
      </c>
      <c r="B9" s="51">
        <v>4176</v>
      </c>
      <c r="C9" s="51" t="s">
        <v>536</v>
      </c>
      <c r="D9" s="59">
        <v>14</v>
      </c>
      <c r="E9" s="59">
        <v>11</v>
      </c>
      <c r="F9" s="53">
        <f t="shared" si="0"/>
        <v>0.21428571428571427</v>
      </c>
      <c r="G9" s="59">
        <v>149</v>
      </c>
      <c r="H9" s="52">
        <v>4957.1400000000003</v>
      </c>
      <c r="I9" s="52">
        <v>77.760000000000005</v>
      </c>
      <c r="J9" s="52">
        <v>755</v>
      </c>
      <c r="K9" s="53">
        <f>SUM($J$5:J9)/$J$45</f>
        <v>0.18974335555758517</v>
      </c>
      <c r="L9" s="56" t="s">
        <v>1239</v>
      </c>
    </row>
    <row r="10" spans="1:12" x14ac:dyDescent="0.3">
      <c r="A10" s="103">
        <v>6</v>
      </c>
      <c r="B10" s="51">
        <v>35</v>
      </c>
      <c r="C10" s="51" t="s">
        <v>549</v>
      </c>
      <c r="D10" s="59">
        <v>12</v>
      </c>
      <c r="E10" s="59">
        <v>10</v>
      </c>
      <c r="F10" s="53">
        <f t="shared" si="0"/>
        <v>0.16666666666666666</v>
      </c>
      <c r="G10" s="59">
        <v>175</v>
      </c>
      <c r="H10" s="52">
        <v>6471.52</v>
      </c>
      <c r="I10" s="52">
        <v>238.4</v>
      </c>
      <c r="J10" s="52">
        <v>734</v>
      </c>
      <c r="K10" s="53">
        <f>SUM($J$5:J10)/$J$45</f>
        <v>0.22326239839254727</v>
      </c>
      <c r="L10" s="56" t="s">
        <v>1239</v>
      </c>
    </row>
    <row r="11" spans="1:12" x14ac:dyDescent="0.3">
      <c r="A11" s="103">
        <v>7</v>
      </c>
      <c r="B11" s="51">
        <v>20</v>
      </c>
      <c r="C11" s="51" t="s">
        <v>552</v>
      </c>
      <c r="D11" s="59">
        <v>10</v>
      </c>
      <c r="E11" s="59">
        <v>7</v>
      </c>
      <c r="F11" s="53">
        <f t="shared" si="0"/>
        <v>0.3</v>
      </c>
      <c r="G11" s="59">
        <v>186</v>
      </c>
      <c r="H11" s="52">
        <v>4652.97</v>
      </c>
      <c r="I11" s="52">
        <v>222.95</v>
      </c>
      <c r="J11" s="52">
        <v>733</v>
      </c>
      <c r="K11" s="53">
        <f>SUM($J$5:J11)/$J$45</f>
        <v>0.25673577495661704</v>
      </c>
      <c r="L11" s="56" t="s">
        <v>1239</v>
      </c>
    </row>
    <row r="12" spans="1:12" x14ac:dyDescent="0.3">
      <c r="A12" s="103">
        <v>8</v>
      </c>
      <c r="B12" s="51">
        <v>4317</v>
      </c>
      <c r="C12" s="51" t="s">
        <v>540</v>
      </c>
      <c r="D12" s="59">
        <v>12</v>
      </c>
      <c r="E12" s="59">
        <v>8</v>
      </c>
      <c r="F12" s="53">
        <f t="shared" si="0"/>
        <v>0.33333333333333331</v>
      </c>
      <c r="G12" s="59">
        <v>94</v>
      </c>
      <c r="H12" s="52">
        <v>3164.72</v>
      </c>
      <c r="I12" s="52">
        <v>174.65</v>
      </c>
      <c r="J12" s="52">
        <v>700</v>
      </c>
      <c r="K12" s="53">
        <f>SUM($J$5:J12)/$J$45</f>
        <v>0.28870216458124032</v>
      </c>
      <c r="L12" s="56" t="s">
        <v>1239</v>
      </c>
    </row>
    <row r="13" spans="1:12" x14ac:dyDescent="0.3">
      <c r="A13" s="103">
        <v>9</v>
      </c>
      <c r="B13" s="51">
        <v>414</v>
      </c>
      <c r="C13" s="51" t="s">
        <v>544</v>
      </c>
      <c r="D13" s="59">
        <v>15</v>
      </c>
      <c r="E13" s="59">
        <v>10</v>
      </c>
      <c r="F13" s="53">
        <f t="shared" si="0"/>
        <v>0.33333333333333331</v>
      </c>
      <c r="G13" s="59">
        <v>164</v>
      </c>
      <c r="H13" s="52">
        <v>5454.2</v>
      </c>
      <c r="I13" s="52">
        <v>106.25</v>
      </c>
      <c r="J13" s="52">
        <v>686</v>
      </c>
      <c r="K13" s="53">
        <f>SUM($J$5:J13)/$J$45</f>
        <v>0.32002922641337106</v>
      </c>
      <c r="L13" s="56" t="s">
        <v>1239</v>
      </c>
    </row>
    <row r="14" spans="1:12" x14ac:dyDescent="0.3">
      <c r="A14" s="103">
        <v>10</v>
      </c>
      <c r="B14" s="51">
        <v>4116</v>
      </c>
      <c r="C14" s="51" t="s">
        <v>557</v>
      </c>
      <c r="D14" s="59">
        <v>14</v>
      </c>
      <c r="E14" s="59">
        <v>10</v>
      </c>
      <c r="F14" s="53">
        <f t="shared" si="0"/>
        <v>0.2857142857142857</v>
      </c>
      <c r="G14" s="59">
        <v>203</v>
      </c>
      <c r="H14" s="52">
        <v>6073.42</v>
      </c>
      <c r="I14" s="52">
        <v>139.63999999999999</v>
      </c>
      <c r="J14" s="52">
        <v>655</v>
      </c>
      <c r="K14" s="53">
        <f>SUM($J$5:J14)/$J$45</f>
        <v>0.34994063384783997</v>
      </c>
      <c r="L14" s="56" t="s">
        <v>1239</v>
      </c>
    </row>
    <row r="15" spans="1:12" x14ac:dyDescent="0.3">
      <c r="A15" s="103">
        <v>11</v>
      </c>
      <c r="B15" s="51">
        <v>4490</v>
      </c>
      <c r="C15" s="51" t="s">
        <v>537</v>
      </c>
      <c r="D15" s="59">
        <v>12</v>
      </c>
      <c r="E15" s="59">
        <v>7</v>
      </c>
      <c r="F15" s="53">
        <f t="shared" si="0"/>
        <v>0.41666666666666669</v>
      </c>
      <c r="G15" s="59">
        <v>159</v>
      </c>
      <c r="H15" s="52">
        <v>5266</v>
      </c>
      <c r="I15" s="52">
        <v>349.44</v>
      </c>
      <c r="J15" s="52">
        <v>642</v>
      </c>
      <c r="K15" s="53">
        <f>SUM($J$5:J15)/$J$45</f>
        <v>0.37925837976070875</v>
      </c>
      <c r="L15" s="56" t="s">
        <v>1239</v>
      </c>
    </row>
    <row r="16" spans="1:12" x14ac:dyDescent="0.3">
      <c r="A16" s="103">
        <v>12</v>
      </c>
      <c r="B16" s="51">
        <v>1054</v>
      </c>
      <c r="C16" s="51" t="s">
        <v>524</v>
      </c>
      <c r="D16" s="59">
        <v>11</v>
      </c>
      <c r="E16" s="59">
        <v>9</v>
      </c>
      <c r="F16" s="53">
        <f t="shared" si="0"/>
        <v>0.18181818181818182</v>
      </c>
      <c r="G16" s="59">
        <v>133</v>
      </c>
      <c r="H16" s="52">
        <v>3682.4</v>
      </c>
      <c r="I16" s="52">
        <v>44.64</v>
      </c>
      <c r="J16" s="52">
        <v>632</v>
      </c>
      <c r="K16" s="53">
        <f>SUM($J$5:J16)/$J$45</f>
        <v>0.40811946296465429</v>
      </c>
      <c r="L16" s="56" t="s">
        <v>1239</v>
      </c>
    </row>
    <row r="17" spans="1:12" x14ac:dyDescent="0.3">
      <c r="A17" s="103">
        <v>13</v>
      </c>
      <c r="B17" s="51">
        <v>46</v>
      </c>
      <c r="C17" s="51" t="s">
        <v>519</v>
      </c>
      <c r="D17" s="59">
        <v>9</v>
      </c>
      <c r="E17" s="59">
        <v>8</v>
      </c>
      <c r="F17" s="53">
        <f t="shared" si="0"/>
        <v>0.1111111111111111</v>
      </c>
      <c r="G17" s="59">
        <v>229</v>
      </c>
      <c r="H17" s="52">
        <v>6021.81</v>
      </c>
      <c r="I17" s="52">
        <v>53.56</v>
      </c>
      <c r="J17" s="52">
        <v>631</v>
      </c>
      <c r="K17" s="53">
        <f>SUM($J$5:J17)/$J$45</f>
        <v>0.43693487989770757</v>
      </c>
      <c r="L17" s="56" t="s">
        <v>1239</v>
      </c>
    </row>
    <row r="18" spans="1:12" x14ac:dyDescent="0.3">
      <c r="A18" s="103">
        <v>14</v>
      </c>
      <c r="B18" s="51">
        <v>4126</v>
      </c>
      <c r="C18" s="51" t="s">
        <v>547</v>
      </c>
      <c r="D18" s="59">
        <v>11</v>
      </c>
      <c r="E18" s="59">
        <v>7</v>
      </c>
      <c r="F18" s="53">
        <f t="shared" si="0"/>
        <v>0.36363636363636365</v>
      </c>
      <c r="G18" s="59">
        <v>95</v>
      </c>
      <c r="H18" s="52">
        <v>3106.8</v>
      </c>
      <c r="I18" s="52">
        <v>427.86</v>
      </c>
      <c r="J18" s="52">
        <v>622</v>
      </c>
      <c r="K18" s="53">
        <f>SUM($J$5:J18)/$J$45</f>
        <v>0.46533930039272992</v>
      </c>
      <c r="L18" s="56" t="s">
        <v>1239</v>
      </c>
    </row>
    <row r="19" spans="1:12" x14ac:dyDescent="0.3">
      <c r="A19" s="16">
        <v>15</v>
      </c>
      <c r="B19" s="29">
        <v>33</v>
      </c>
      <c r="C19" s="29" t="s">
        <v>526</v>
      </c>
      <c r="D19" s="34">
        <v>11</v>
      </c>
      <c r="E19" s="34">
        <v>8</v>
      </c>
      <c r="F19" s="36">
        <f t="shared" si="0"/>
        <v>0.27272727272727271</v>
      </c>
      <c r="G19" s="34">
        <v>115</v>
      </c>
      <c r="H19" s="30">
        <v>3961.66</v>
      </c>
      <c r="I19" s="30">
        <v>106.42</v>
      </c>
      <c r="J19" s="30">
        <v>620</v>
      </c>
      <c r="K19" s="36">
        <f>SUM($J$5:J19)/$J$45</f>
        <v>0.49365238834596764</v>
      </c>
      <c r="L19" s="33" t="s">
        <v>1240</v>
      </c>
    </row>
    <row r="20" spans="1:12" x14ac:dyDescent="0.3">
      <c r="A20" s="16">
        <v>16</v>
      </c>
      <c r="B20" s="29">
        <v>24</v>
      </c>
      <c r="C20" s="29" t="s">
        <v>543</v>
      </c>
      <c r="D20" s="34">
        <v>11</v>
      </c>
      <c r="E20" s="34">
        <v>8</v>
      </c>
      <c r="F20" s="36">
        <f t="shared" si="0"/>
        <v>0.27272727272727271</v>
      </c>
      <c r="G20" s="34">
        <v>152</v>
      </c>
      <c r="H20" s="30">
        <v>5056.68</v>
      </c>
      <c r="I20" s="30">
        <v>274.29000000000002</v>
      </c>
      <c r="J20" s="30">
        <v>609</v>
      </c>
      <c r="K20" s="36">
        <f>SUM($J$5:J20)/$J$45</f>
        <v>0.52146314731938992</v>
      </c>
      <c r="L20" s="33" t="s">
        <v>1240</v>
      </c>
    </row>
    <row r="21" spans="1:12" x14ac:dyDescent="0.3">
      <c r="A21" s="16">
        <v>17</v>
      </c>
      <c r="B21" s="29">
        <v>47</v>
      </c>
      <c r="C21" s="29" t="s">
        <v>516</v>
      </c>
      <c r="D21" s="34">
        <v>10</v>
      </c>
      <c r="E21" s="34">
        <v>7</v>
      </c>
      <c r="F21" s="36">
        <f t="shared" si="0"/>
        <v>0.3</v>
      </c>
      <c r="G21" s="34">
        <v>97</v>
      </c>
      <c r="H21" s="30">
        <v>3342.44</v>
      </c>
      <c r="I21" s="30">
        <v>108.75</v>
      </c>
      <c r="J21" s="30">
        <v>609</v>
      </c>
      <c r="K21" s="36">
        <f>SUM($J$5:J21)/$J$45</f>
        <v>0.54927390629281214</v>
      </c>
      <c r="L21" s="33" t="s">
        <v>1240</v>
      </c>
    </row>
    <row r="22" spans="1:12" x14ac:dyDescent="0.3">
      <c r="A22" s="16">
        <v>18</v>
      </c>
      <c r="B22" s="29">
        <v>169</v>
      </c>
      <c r="C22" s="29" t="s">
        <v>531</v>
      </c>
      <c r="D22" s="34">
        <v>15</v>
      </c>
      <c r="E22" s="34">
        <v>9</v>
      </c>
      <c r="F22" s="36">
        <f t="shared" si="0"/>
        <v>0.4</v>
      </c>
      <c r="G22" s="34">
        <v>123</v>
      </c>
      <c r="H22" s="30">
        <v>3798.38</v>
      </c>
      <c r="I22" s="30">
        <v>645.58000000000004</v>
      </c>
      <c r="J22" s="30">
        <v>598</v>
      </c>
      <c r="K22" s="36">
        <f>SUM($J$5:J22)/$J$45</f>
        <v>0.57658233628641886</v>
      </c>
      <c r="L22" s="33" t="s">
        <v>1240</v>
      </c>
    </row>
    <row r="23" spans="1:12" x14ac:dyDescent="0.3">
      <c r="A23" s="16">
        <v>19</v>
      </c>
      <c r="B23" s="29">
        <v>4370</v>
      </c>
      <c r="C23" s="29" t="s">
        <v>542</v>
      </c>
      <c r="D23" s="34">
        <v>10</v>
      </c>
      <c r="E23" s="34">
        <v>8</v>
      </c>
      <c r="F23" s="36">
        <f t="shared" si="0"/>
        <v>0.2</v>
      </c>
      <c r="G23" s="34">
        <v>166</v>
      </c>
      <c r="H23" s="30">
        <v>4887.83</v>
      </c>
      <c r="I23" s="30">
        <v>66.959999999999994</v>
      </c>
      <c r="J23" s="30">
        <v>566</v>
      </c>
      <c r="K23" s="36">
        <f>SUM($J$5:J23)/$J$45</f>
        <v>0.60242944561147138</v>
      </c>
      <c r="L23" s="33" t="s">
        <v>1240</v>
      </c>
    </row>
    <row r="24" spans="1:12" x14ac:dyDescent="0.3">
      <c r="A24" s="16">
        <v>20</v>
      </c>
      <c r="B24" s="29">
        <v>4433</v>
      </c>
      <c r="C24" s="29" t="s">
        <v>520</v>
      </c>
      <c r="D24" s="34">
        <v>10</v>
      </c>
      <c r="E24" s="34">
        <v>7</v>
      </c>
      <c r="F24" s="36">
        <f t="shared" si="0"/>
        <v>0.3</v>
      </c>
      <c r="G24" s="34">
        <v>94</v>
      </c>
      <c r="H24" s="30">
        <v>3118.3</v>
      </c>
      <c r="I24" s="30">
        <v>83.69</v>
      </c>
      <c r="J24" s="30">
        <v>549</v>
      </c>
      <c r="K24" s="36">
        <f>SUM($J$5:J24)/$J$45</f>
        <v>0.62750022833135444</v>
      </c>
      <c r="L24" s="33" t="s">
        <v>1240</v>
      </c>
    </row>
    <row r="25" spans="1:12" x14ac:dyDescent="0.3">
      <c r="A25" s="16">
        <v>21</v>
      </c>
      <c r="B25" s="29">
        <v>459</v>
      </c>
      <c r="C25" s="29" t="s">
        <v>527</v>
      </c>
      <c r="D25" s="34">
        <v>9</v>
      </c>
      <c r="E25" s="34">
        <v>8</v>
      </c>
      <c r="F25" s="36">
        <f t="shared" si="0"/>
        <v>0.1111111111111111</v>
      </c>
      <c r="G25" s="34">
        <v>291</v>
      </c>
      <c r="H25" s="30">
        <v>7766.63</v>
      </c>
      <c r="I25" s="30">
        <v>178.56</v>
      </c>
      <c r="J25" s="30">
        <v>545</v>
      </c>
      <c r="K25" s="36">
        <f>SUM($J$5:J25)/$J$45</f>
        <v>0.65238834596766826</v>
      </c>
      <c r="L25" s="33" t="s">
        <v>1240</v>
      </c>
    </row>
    <row r="26" spans="1:12" x14ac:dyDescent="0.3">
      <c r="A26" s="16">
        <v>22</v>
      </c>
      <c r="B26" s="29">
        <v>458</v>
      </c>
      <c r="C26" s="29" t="s">
        <v>548</v>
      </c>
      <c r="D26" s="34">
        <v>9</v>
      </c>
      <c r="E26" s="34">
        <v>7</v>
      </c>
      <c r="F26" s="36">
        <f t="shared" si="0"/>
        <v>0.22222222222222221</v>
      </c>
      <c r="G26" s="34">
        <v>99</v>
      </c>
      <c r="H26" s="30">
        <v>3199.82</v>
      </c>
      <c r="I26" s="30">
        <v>128.05000000000001</v>
      </c>
      <c r="J26" s="30">
        <v>541</v>
      </c>
      <c r="K26" s="36">
        <f>SUM($J$5:J26)/$J$45</f>
        <v>0.67709379852041285</v>
      </c>
      <c r="L26" s="33" t="s">
        <v>1240</v>
      </c>
    </row>
    <row r="27" spans="1:12" x14ac:dyDescent="0.3">
      <c r="A27" s="16">
        <v>23</v>
      </c>
      <c r="B27" s="29">
        <v>948</v>
      </c>
      <c r="C27" s="29" t="s">
        <v>553</v>
      </c>
      <c r="D27" s="34">
        <v>9</v>
      </c>
      <c r="E27" s="34">
        <v>7</v>
      </c>
      <c r="F27" s="36">
        <f t="shared" si="0"/>
        <v>0.22222222222222221</v>
      </c>
      <c r="G27" s="34">
        <v>132</v>
      </c>
      <c r="H27" s="30">
        <v>3986.87</v>
      </c>
      <c r="I27" s="30">
        <v>45.08</v>
      </c>
      <c r="J27" s="30">
        <v>541</v>
      </c>
      <c r="K27" s="36">
        <f>SUM($J$5:J27)/$J$45</f>
        <v>0.70179925107315733</v>
      </c>
      <c r="L27" s="33" t="s">
        <v>1240</v>
      </c>
    </row>
    <row r="28" spans="1:12" x14ac:dyDescent="0.3">
      <c r="A28" s="16">
        <v>24</v>
      </c>
      <c r="B28" s="29">
        <v>4037</v>
      </c>
      <c r="C28" s="29" t="s">
        <v>517</v>
      </c>
      <c r="D28" s="34">
        <v>14</v>
      </c>
      <c r="E28" s="34">
        <v>10</v>
      </c>
      <c r="F28" s="36">
        <f t="shared" si="0"/>
        <v>0.2857142857142857</v>
      </c>
      <c r="G28" s="34">
        <v>200</v>
      </c>
      <c r="H28" s="30">
        <v>5143.72</v>
      </c>
      <c r="I28" s="30">
        <v>521.35</v>
      </c>
      <c r="J28" s="30">
        <v>530</v>
      </c>
      <c r="K28" s="36">
        <f>SUM($J$5:J28)/$J$45</f>
        <v>0.72600237464608641</v>
      </c>
      <c r="L28" s="33" t="s">
        <v>1240</v>
      </c>
    </row>
    <row r="29" spans="1:12" x14ac:dyDescent="0.3">
      <c r="A29" s="16">
        <v>25</v>
      </c>
      <c r="B29" s="29">
        <v>34</v>
      </c>
      <c r="C29" s="29" t="s">
        <v>529</v>
      </c>
      <c r="D29" s="34">
        <v>8</v>
      </c>
      <c r="E29" s="34">
        <v>5</v>
      </c>
      <c r="F29" s="36">
        <f t="shared" si="0"/>
        <v>0.375</v>
      </c>
      <c r="G29" s="34">
        <v>72</v>
      </c>
      <c r="H29" s="30">
        <v>2435.23</v>
      </c>
      <c r="I29" s="30">
        <v>276.77</v>
      </c>
      <c r="J29" s="30">
        <v>506</v>
      </c>
      <c r="K29" s="36">
        <f>SUM($J$5:J29)/$J$45</f>
        <v>0.74910950771759977</v>
      </c>
      <c r="L29" s="33" t="s">
        <v>1240</v>
      </c>
    </row>
    <row r="30" spans="1:12" x14ac:dyDescent="0.3">
      <c r="A30" s="16">
        <v>26</v>
      </c>
      <c r="B30" s="29">
        <v>180</v>
      </c>
      <c r="C30" s="29" t="s">
        <v>528</v>
      </c>
      <c r="D30" s="34">
        <v>12</v>
      </c>
      <c r="E30" s="34">
        <v>8</v>
      </c>
      <c r="F30" s="36">
        <f t="shared" si="0"/>
        <v>0.33333333333333331</v>
      </c>
      <c r="G30" s="34">
        <v>106</v>
      </c>
      <c r="H30" s="30">
        <v>3061.18</v>
      </c>
      <c r="I30" s="30">
        <v>218.3</v>
      </c>
      <c r="J30" s="30">
        <v>498</v>
      </c>
      <c r="K30" s="36">
        <f>SUM($J$5:J30)/$J$45</f>
        <v>0.77185131062197465</v>
      </c>
      <c r="L30" s="33" t="s">
        <v>1240</v>
      </c>
    </row>
    <row r="31" spans="1:12" x14ac:dyDescent="0.3">
      <c r="A31" s="16">
        <v>27</v>
      </c>
      <c r="B31" s="29">
        <v>4414</v>
      </c>
      <c r="C31" s="29" t="s">
        <v>525</v>
      </c>
      <c r="D31" s="34">
        <v>14</v>
      </c>
      <c r="E31" s="34">
        <v>10</v>
      </c>
      <c r="F31" s="36">
        <f t="shared" si="0"/>
        <v>0.2857142857142857</v>
      </c>
      <c r="G31" s="34">
        <v>77</v>
      </c>
      <c r="H31" s="30">
        <v>2587.8000000000002</v>
      </c>
      <c r="I31" s="30">
        <v>385.19</v>
      </c>
      <c r="J31" s="30">
        <v>496</v>
      </c>
      <c r="K31" s="36">
        <f>SUM($J$5:J31)/$J$45</f>
        <v>0.79450178098456481</v>
      </c>
      <c r="L31" s="33" t="s">
        <v>1240</v>
      </c>
    </row>
    <row r="32" spans="1:12" x14ac:dyDescent="0.3">
      <c r="A32" s="16">
        <v>28</v>
      </c>
      <c r="B32" s="29">
        <v>4087</v>
      </c>
      <c r="C32" s="29" t="s">
        <v>532</v>
      </c>
      <c r="D32" s="34">
        <v>13</v>
      </c>
      <c r="E32" s="34">
        <v>8</v>
      </c>
      <c r="F32" s="36">
        <f t="shared" si="0"/>
        <v>0.38461538461538464</v>
      </c>
      <c r="G32" s="34">
        <v>77</v>
      </c>
      <c r="H32" s="30">
        <v>2877.47</v>
      </c>
      <c r="I32" s="30">
        <v>381.25</v>
      </c>
      <c r="J32" s="30">
        <v>489</v>
      </c>
      <c r="K32" s="36">
        <f>SUM($J$5:J32)/$J$45</f>
        <v>0.81683258745090881</v>
      </c>
      <c r="L32" s="33" t="s">
        <v>1241</v>
      </c>
    </row>
    <row r="33" spans="1:12" x14ac:dyDescent="0.3">
      <c r="A33" s="16">
        <v>29</v>
      </c>
      <c r="B33" s="29">
        <v>457</v>
      </c>
      <c r="C33" s="29" t="s">
        <v>511</v>
      </c>
      <c r="D33" s="34">
        <v>10</v>
      </c>
      <c r="E33" s="34">
        <v>6</v>
      </c>
      <c r="F33" s="36">
        <f t="shared" si="0"/>
        <v>0.4</v>
      </c>
      <c r="G33" s="34">
        <v>70</v>
      </c>
      <c r="H33" s="30">
        <v>2575.5</v>
      </c>
      <c r="I33" s="30">
        <v>466.7</v>
      </c>
      <c r="J33" s="30">
        <v>473</v>
      </c>
      <c r="K33" s="36">
        <f>SUM($J$5:J33)/$J$45</f>
        <v>0.83843273358297565</v>
      </c>
      <c r="L33" s="33" t="s">
        <v>1241</v>
      </c>
    </row>
    <row r="34" spans="1:12" x14ac:dyDescent="0.3">
      <c r="A34" s="16">
        <v>30</v>
      </c>
      <c r="B34" s="29">
        <v>460</v>
      </c>
      <c r="C34" s="29" t="s">
        <v>546</v>
      </c>
      <c r="D34" s="34">
        <v>8</v>
      </c>
      <c r="E34" s="34">
        <v>5</v>
      </c>
      <c r="F34" s="36">
        <f t="shared" si="0"/>
        <v>0.375</v>
      </c>
      <c r="G34" s="34">
        <v>151</v>
      </c>
      <c r="H34" s="30">
        <v>3150.5</v>
      </c>
      <c r="I34" s="30">
        <v>0</v>
      </c>
      <c r="J34" s="30">
        <v>460</v>
      </c>
      <c r="K34" s="36">
        <f>SUM($J$5:J34)/$J$45</f>
        <v>0.85943921819344238</v>
      </c>
      <c r="L34" s="33" t="s">
        <v>1241</v>
      </c>
    </row>
    <row r="35" spans="1:12" x14ac:dyDescent="0.3">
      <c r="A35" s="16">
        <v>31</v>
      </c>
      <c r="B35" s="29">
        <v>727</v>
      </c>
      <c r="C35" s="29" t="s">
        <v>518</v>
      </c>
      <c r="D35" s="34">
        <v>12</v>
      </c>
      <c r="E35" s="34">
        <v>6</v>
      </c>
      <c r="F35" s="36">
        <f t="shared" si="0"/>
        <v>0.5</v>
      </c>
      <c r="G35" s="34">
        <v>78</v>
      </c>
      <c r="H35" s="30">
        <v>3198.84</v>
      </c>
      <c r="I35" s="30">
        <v>385.65</v>
      </c>
      <c r="J35" s="30">
        <v>457</v>
      </c>
      <c r="K35" s="36">
        <f>SUM($J$5:J35)/$J$45</f>
        <v>0.88030870399123207</v>
      </c>
      <c r="L35" s="33" t="s">
        <v>1241</v>
      </c>
    </row>
    <row r="36" spans="1:12" x14ac:dyDescent="0.3">
      <c r="A36" s="16">
        <v>32</v>
      </c>
      <c r="B36" s="29">
        <v>4173</v>
      </c>
      <c r="C36" s="29" t="s">
        <v>539</v>
      </c>
      <c r="D36" s="34">
        <v>14</v>
      </c>
      <c r="E36" s="34">
        <v>5</v>
      </c>
      <c r="F36" s="36">
        <f t="shared" si="0"/>
        <v>0.6428571428571429</v>
      </c>
      <c r="G36" s="34">
        <v>49</v>
      </c>
      <c r="H36" s="30">
        <v>1772.94</v>
      </c>
      <c r="I36" s="30">
        <v>196.7</v>
      </c>
      <c r="J36" s="30">
        <v>429</v>
      </c>
      <c r="K36" s="36">
        <f>SUM($J$5:J36)/$J$45</f>
        <v>0.8998995342040369</v>
      </c>
      <c r="L36" s="33" t="s">
        <v>1241</v>
      </c>
    </row>
    <row r="37" spans="1:12" x14ac:dyDescent="0.3">
      <c r="A37" s="16">
        <v>33</v>
      </c>
      <c r="B37" s="29">
        <v>164</v>
      </c>
      <c r="C37" s="29" t="s">
        <v>555</v>
      </c>
      <c r="D37" s="34">
        <v>9</v>
      </c>
      <c r="E37" s="34">
        <v>6</v>
      </c>
      <c r="F37" s="36">
        <f t="shared" si="0"/>
        <v>0.33333333333333331</v>
      </c>
      <c r="G37" s="34">
        <v>209</v>
      </c>
      <c r="H37" s="30">
        <v>5229.8500000000004</v>
      </c>
      <c r="I37" s="30">
        <v>331.98</v>
      </c>
      <c r="J37" s="30">
        <v>424</v>
      </c>
      <c r="K37" s="36">
        <f>SUM($J$5:J37)/$J$45</f>
        <v>0.91926203306238008</v>
      </c>
      <c r="L37" s="33" t="s">
        <v>1241</v>
      </c>
    </row>
    <row r="38" spans="1:12" x14ac:dyDescent="0.3">
      <c r="A38" s="16">
        <v>34</v>
      </c>
      <c r="B38" s="29">
        <v>4491</v>
      </c>
      <c r="C38" s="29" t="s">
        <v>559</v>
      </c>
      <c r="D38" s="34">
        <v>10</v>
      </c>
      <c r="E38" s="34">
        <v>7</v>
      </c>
      <c r="F38" s="36">
        <f t="shared" si="0"/>
        <v>0.3</v>
      </c>
      <c r="G38" s="34">
        <v>54</v>
      </c>
      <c r="H38" s="30">
        <v>2314.41</v>
      </c>
      <c r="I38" s="30">
        <v>128.84</v>
      </c>
      <c r="J38" s="30">
        <v>387</v>
      </c>
      <c r="K38" s="36">
        <f>SUM($J$5:J38)/$J$45</f>
        <v>0.93693487989770752</v>
      </c>
      <c r="L38" s="33" t="s">
        <v>1241</v>
      </c>
    </row>
    <row r="39" spans="1:12" x14ac:dyDescent="0.3">
      <c r="A39" s="16">
        <v>35</v>
      </c>
      <c r="B39" s="29">
        <v>121</v>
      </c>
      <c r="C39" s="29" t="s">
        <v>522</v>
      </c>
      <c r="D39" s="34">
        <v>9</v>
      </c>
      <c r="E39" s="34">
        <v>5</v>
      </c>
      <c r="F39" s="36">
        <f t="shared" si="0"/>
        <v>0.44444444444444442</v>
      </c>
      <c r="G39" s="34">
        <v>125</v>
      </c>
      <c r="H39" s="30">
        <v>4200.9799999999996</v>
      </c>
      <c r="I39" s="30">
        <v>174.86</v>
      </c>
      <c r="J39" s="30">
        <v>348</v>
      </c>
      <c r="K39" s="36">
        <f>SUM($J$5:J39)/$J$45</f>
        <v>0.9528267421682346</v>
      </c>
      <c r="L39" s="33" t="s">
        <v>1241</v>
      </c>
    </row>
    <row r="40" spans="1:12" x14ac:dyDescent="0.3">
      <c r="A40" s="16">
        <v>36</v>
      </c>
      <c r="B40" s="29">
        <v>491</v>
      </c>
      <c r="C40" s="29" t="s">
        <v>514</v>
      </c>
      <c r="D40" s="34">
        <v>10</v>
      </c>
      <c r="E40" s="34">
        <v>4</v>
      </c>
      <c r="F40" s="36">
        <f t="shared" si="0"/>
        <v>0.6</v>
      </c>
      <c r="G40" s="34">
        <v>77</v>
      </c>
      <c r="H40" s="30">
        <v>2457</v>
      </c>
      <c r="I40" s="30">
        <v>801.82</v>
      </c>
      <c r="J40" s="30">
        <v>347</v>
      </c>
      <c r="K40" s="36">
        <f>SUM($J$5:J40)/$J$45</f>
        <v>0.96867293816786926</v>
      </c>
      <c r="L40" s="33" t="s">
        <v>1241</v>
      </c>
    </row>
    <row r="41" spans="1:12" x14ac:dyDescent="0.3">
      <c r="A41" s="16">
        <v>37</v>
      </c>
      <c r="B41" s="29">
        <v>108</v>
      </c>
      <c r="C41" s="29" t="s">
        <v>512</v>
      </c>
      <c r="D41" s="34">
        <v>9</v>
      </c>
      <c r="E41" s="34">
        <v>3</v>
      </c>
      <c r="F41" s="36">
        <f t="shared" si="0"/>
        <v>0.66666666666666663</v>
      </c>
      <c r="G41" s="34">
        <v>60</v>
      </c>
      <c r="H41" s="30">
        <v>2256</v>
      </c>
      <c r="I41" s="30">
        <v>670.72</v>
      </c>
      <c r="J41" s="30">
        <v>266</v>
      </c>
      <c r="K41" s="36">
        <f>SUM($J$5:J41)/$J$45</f>
        <v>0.98082016622522605</v>
      </c>
      <c r="L41" s="33" t="s">
        <v>1241</v>
      </c>
    </row>
    <row r="42" spans="1:12" x14ac:dyDescent="0.3">
      <c r="A42" s="16">
        <v>38</v>
      </c>
      <c r="B42" s="29">
        <v>23</v>
      </c>
      <c r="C42" s="29" t="s">
        <v>521</v>
      </c>
      <c r="D42" s="34">
        <v>11</v>
      </c>
      <c r="E42" s="34">
        <v>4</v>
      </c>
      <c r="F42" s="36">
        <f t="shared" si="0"/>
        <v>0.63636363636363635</v>
      </c>
      <c r="G42" s="34">
        <v>52</v>
      </c>
      <c r="H42" s="30">
        <v>1710.4</v>
      </c>
      <c r="I42" s="30">
        <v>871.34</v>
      </c>
      <c r="J42" s="30">
        <v>266</v>
      </c>
      <c r="K42" s="36">
        <f>SUM($J$5:J42)/$J$45</f>
        <v>0.99296739428258285</v>
      </c>
      <c r="L42" s="33" t="s">
        <v>1241</v>
      </c>
    </row>
    <row r="43" spans="1:12" x14ac:dyDescent="0.3">
      <c r="A43" s="16">
        <v>39</v>
      </c>
      <c r="B43" s="29">
        <v>22</v>
      </c>
      <c r="C43" s="29" t="s">
        <v>509</v>
      </c>
      <c r="D43" s="34">
        <v>7</v>
      </c>
      <c r="E43" s="34">
        <v>2</v>
      </c>
      <c r="F43" s="36">
        <f t="shared" si="0"/>
        <v>0.7142857142857143</v>
      </c>
      <c r="G43" s="34">
        <v>56</v>
      </c>
      <c r="H43" s="30">
        <v>1232</v>
      </c>
      <c r="I43" s="30">
        <v>502.44</v>
      </c>
      <c r="J43" s="30">
        <v>154</v>
      </c>
      <c r="K43" s="36">
        <f>SUM($J$5:J43)/$J$45</f>
        <v>1</v>
      </c>
      <c r="L43" s="33" t="s">
        <v>1241</v>
      </c>
    </row>
    <row r="44" spans="1:12" x14ac:dyDescent="0.3">
      <c r="A44" s="16">
        <v>40</v>
      </c>
      <c r="B44" s="29">
        <v>1087</v>
      </c>
      <c r="C44" s="29" t="s">
        <v>558</v>
      </c>
      <c r="D44" s="34">
        <v>6</v>
      </c>
      <c r="E44" s="34">
        <v>0</v>
      </c>
      <c r="F44" s="36">
        <f t="shared" si="0"/>
        <v>1</v>
      </c>
      <c r="G44" s="34">
        <v>0</v>
      </c>
      <c r="H44" s="30">
        <v>0</v>
      </c>
      <c r="I44" s="30">
        <v>0</v>
      </c>
      <c r="J44" s="30">
        <v>0</v>
      </c>
      <c r="K44" s="36">
        <f>SUM($J$5:J44)/$J$45</f>
        <v>1</v>
      </c>
      <c r="L44" s="33" t="s">
        <v>1241</v>
      </c>
    </row>
    <row r="45" spans="1:12" x14ac:dyDescent="0.3">
      <c r="A45" s="131"/>
      <c r="C45" s="9" t="s">
        <v>492</v>
      </c>
      <c r="G45" s="49">
        <f>SUM(G5:G44)</f>
        <v>5371</v>
      </c>
      <c r="H45" s="46">
        <f>SUM(H5:H44)</f>
        <v>161829.33000000002</v>
      </c>
      <c r="I45" s="46">
        <f>SUM(I5:I44)</f>
        <v>10325.049999999999</v>
      </c>
      <c r="J45" s="46">
        <f>SUM(J5:J44)</f>
        <v>21898</v>
      </c>
    </row>
  </sheetData>
  <hyperlinks>
    <hyperlink ref="A3" location="'0. HUB'!A1" display="◀ HUB" xr:uid="{00000000-0004-0000-1400-000000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D7D31"/>
  </sheetPr>
  <dimension ref="A1:V199"/>
  <sheetViews>
    <sheetView showGridLines="0" zoomScaleNormal="100" workbookViewId="0">
      <pane ySplit="5" topLeftCell="A12" activePane="bottomLeft" state="frozen"/>
      <selection pane="bottomLeft"/>
    </sheetView>
  </sheetViews>
  <sheetFormatPr baseColWidth="10" defaultColWidth="8.6640625" defaultRowHeight="14.4" x14ac:dyDescent="0.3"/>
  <cols>
    <col min="1" max="1" width="40.77734375" customWidth="1"/>
    <col min="2" max="2" width="8.33203125" bestFit="1" customWidth="1"/>
    <col min="3" max="3" width="16.6640625" bestFit="1" customWidth="1"/>
    <col min="4" max="4" width="12.21875" bestFit="1" customWidth="1"/>
    <col min="5" max="5" width="10.44140625" bestFit="1" customWidth="1"/>
    <col min="6" max="6" width="23.21875" bestFit="1" customWidth="1"/>
    <col min="7" max="7" width="12" bestFit="1" customWidth="1"/>
    <col min="8" max="8" width="13.109375" bestFit="1" customWidth="1"/>
    <col min="9" max="9" width="10.33203125" bestFit="1" customWidth="1"/>
    <col min="10" max="10" width="9.33203125" bestFit="1" customWidth="1"/>
    <col min="11" max="11" width="10.44140625" bestFit="1" customWidth="1"/>
    <col min="12" max="12" width="8" bestFit="1" customWidth="1"/>
    <col min="13" max="13" width="10.88671875" bestFit="1" customWidth="1"/>
    <col min="14" max="14" width="11.44140625" bestFit="1" customWidth="1"/>
    <col min="15" max="15" width="10.88671875" bestFit="1" customWidth="1"/>
    <col min="16" max="16" width="13.44140625" bestFit="1" customWidth="1"/>
    <col min="17" max="17" width="34.6640625" bestFit="1" customWidth="1"/>
    <col min="19" max="19" width="7.21875" bestFit="1" customWidth="1"/>
    <col min="20" max="20" width="21.21875" bestFit="1" customWidth="1"/>
    <col min="21" max="21" width="21.77734375" bestFit="1" customWidth="1"/>
    <col min="22" max="22" width="14.21875" bestFit="1" customWidth="1"/>
  </cols>
  <sheetData>
    <row r="1" spans="1:22" ht="34.799999999999997" x14ac:dyDescent="0.3">
      <c r="A1" s="146" t="s">
        <v>1242</v>
      </c>
      <c r="S1" s="42" t="s">
        <v>72</v>
      </c>
      <c r="T1" s="9" t="s">
        <v>1243</v>
      </c>
    </row>
    <row r="2" spans="1:22" ht="53.4" x14ac:dyDescent="0.3">
      <c r="A2" s="47" t="s">
        <v>1244</v>
      </c>
      <c r="T2" s="67" t="s">
        <v>753</v>
      </c>
      <c r="U2" s="67" t="s">
        <v>754</v>
      </c>
      <c r="V2" s="67" t="s">
        <v>467</v>
      </c>
    </row>
    <row r="3" spans="1:22" ht="53.4" x14ac:dyDescent="0.3">
      <c r="A3" s="160" t="s">
        <v>1245</v>
      </c>
      <c r="T3">
        <v>75214930</v>
      </c>
      <c r="U3" t="s">
        <v>469</v>
      </c>
      <c r="V3" t="s">
        <v>470</v>
      </c>
    </row>
    <row r="4" spans="1:22" ht="27" x14ac:dyDescent="0.3">
      <c r="A4" s="164" t="s">
        <v>1246</v>
      </c>
      <c r="T4">
        <v>75214931</v>
      </c>
      <c r="U4" t="s">
        <v>472</v>
      </c>
      <c r="V4" t="s">
        <v>480</v>
      </c>
    </row>
    <row r="5" spans="1:22" ht="39.6" x14ac:dyDescent="0.3">
      <c r="A5" s="10" t="s">
        <v>352</v>
      </c>
      <c r="B5" s="10" t="s">
        <v>506</v>
      </c>
      <c r="C5" s="10" t="s">
        <v>1247</v>
      </c>
      <c r="D5" s="10" t="s">
        <v>1087</v>
      </c>
      <c r="E5" s="10" t="s">
        <v>1248</v>
      </c>
      <c r="F5" s="10" t="s">
        <v>1249</v>
      </c>
      <c r="G5" s="10" t="s">
        <v>1250</v>
      </c>
      <c r="H5" s="10" t="s">
        <v>1251</v>
      </c>
      <c r="I5" s="10" t="s">
        <v>1252</v>
      </c>
      <c r="J5" s="10" t="s">
        <v>1253</v>
      </c>
      <c r="K5" s="10" t="s">
        <v>1254</v>
      </c>
      <c r="L5" s="10" t="s">
        <v>1255</v>
      </c>
      <c r="M5" s="10" t="s">
        <v>1256</v>
      </c>
      <c r="N5" s="10" t="s">
        <v>1257</v>
      </c>
      <c r="O5" s="10" t="s">
        <v>1258</v>
      </c>
      <c r="P5" s="10" t="s">
        <v>1259</v>
      </c>
      <c r="Q5" s="10" t="s">
        <v>1260</v>
      </c>
      <c r="T5">
        <v>75214932</v>
      </c>
      <c r="U5" t="s">
        <v>479</v>
      </c>
      <c r="V5" t="s">
        <v>480</v>
      </c>
    </row>
    <row r="6" spans="1:22" x14ac:dyDescent="0.3">
      <c r="A6" s="165" t="s">
        <v>1261</v>
      </c>
      <c r="B6" s="108">
        <v>414</v>
      </c>
      <c r="C6" s="108" t="s">
        <v>544</v>
      </c>
      <c r="D6" s="108" t="s">
        <v>1262</v>
      </c>
      <c r="E6" s="108">
        <v>75437621</v>
      </c>
      <c r="F6" s="109" t="str">
        <f t="shared" ref="F6:F37" si="0">IFERROR(INDEX($U$3:$U$23,MATCH(E6,$T$3:$T$23,0)),"")</f>
        <v>TROOPERORIGINAL LATA</v>
      </c>
      <c r="G6" s="109" t="str">
        <f t="shared" ref="G6:G37" si="1">IFERROR(INDEX($V$3:$V$23,MATCH(E6,$T$3:$T$23,0)),"")</f>
        <v>MODULADO</v>
      </c>
      <c r="H6" s="108">
        <v>187</v>
      </c>
      <c r="I6" s="108">
        <v>24</v>
      </c>
      <c r="J6" s="108">
        <v>163</v>
      </c>
      <c r="K6" s="109">
        <f>I6+J6</f>
        <v>187</v>
      </c>
      <c r="L6" s="110">
        <f t="shared" ref="L6:L37" si="2">IFERROR(I6/H6,"")</f>
        <v>0.12834224598930483</v>
      </c>
      <c r="M6" s="108">
        <v>163</v>
      </c>
      <c r="N6" s="108" t="s">
        <v>1215</v>
      </c>
      <c r="O6" s="108" t="s">
        <v>1263</v>
      </c>
      <c r="P6" s="108" t="s">
        <v>1263</v>
      </c>
      <c r="Q6" s="108" t="s">
        <v>1264</v>
      </c>
      <c r="T6">
        <v>75244431</v>
      </c>
      <c r="U6" t="s">
        <v>489</v>
      </c>
      <c r="V6" t="s">
        <v>480</v>
      </c>
    </row>
    <row r="7" spans="1:22" x14ac:dyDescent="0.3">
      <c r="A7" s="166"/>
      <c r="B7" s="111"/>
      <c r="C7" s="111"/>
      <c r="D7" s="111"/>
      <c r="E7" s="111"/>
      <c r="F7" s="70" t="str">
        <f t="shared" si="0"/>
        <v/>
      </c>
      <c r="G7" s="70" t="str">
        <f t="shared" si="1"/>
        <v/>
      </c>
      <c r="H7" s="111"/>
      <c r="I7" s="111"/>
      <c r="J7" s="111"/>
      <c r="K7" s="70" t="str">
        <f t="shared" ref="K7:K38" si="3">IF(COUNT(I7:J7)=0,"",I7+J7)</f>
        <v/>
      </c>
      <c r="L7" s="36" t="str">
        <f t="shared" si="2"/>
        <v/>
      </c>
      <c r="M7" s="111"/>
      <c r="N7" s="111"/>
      <c r="O7" s="111"/>
      <c r="P7" s="111"/>
      <c r="Q7" s="111"/>
      <c r="T7">
        <v>75244433</v>
      </c>
      <c r="U7" t="s">
        <v>491</v>
      </c>
      <c r="V7" t="s">
        <v>480</v>
      </c>
    </row>
    <row r="8" spans="1:22" x14ac:dyDescent="0.3">
      <c r="A8" s="166"/>
      <c r="B8" s="111"/>
      <c r="C8" s="111"/>
      <c r="D8" s="111"/>
      <c r="E8" s="111"/>
      <c r="F8" s="70" t="str">
        <f t="shared" si="0"/>
        <v/>
      </c>
      <c r="G8" s="70" t="str">
        <f t="shared" si="1"/>
        <v/>
      </c>
      <c r="H8" s="111"/>
      <c r="I8" s="111"/>
      <c r="J8" s="111"/>
      <c r="K8" s="70" t="str">
        <f t="shared" si="3"/>
        <v/>
      </c>
      <c r="L8" s="36" t="str">
        <f t="shared" si="2"/>
        <v/>
      </c>
      <c r="M8" s="111"/>
      <c r="N8" s="111"/>
      <c r="O8" s="111"/>
      <c r="P8" s="111"/>
      <c r="Q8" s="111"/>
      <c r="T8">
        <v>75244435</v>
      </c>
      <c r="U8" t="s">
        <v>488</v>
      </c>
      <c r="V8" t="s">
        <v>480</v>
      </c>
    </row>
    <row r="9" spans="1:22" x14ac:dyDescent="0.3">
      <c r="A9" s="166"/>
      <c r="B9" s="111"/>
      <c r="C9" s="111"/>
      <c r="D9" s="111"/>
      <c r="E9" s="111"/>
      <c r="F9" s="70" t="str">
        <f t="shared" si="0"/>
        <v/>
      </c>
      <c r="G9" s="70" t="str">
        <f t="shared" si="1"/>
        <v/>
      </c>
      <c r="H9" s="111"/>
      <c r="I9" s="111"/>
      <c r="J9" s="111"/>
      <c r="K9" s="70" t="str">
        <f t="shared" si="3"/>
        <v/>
      </c>
      <c r="L9" s="36" t="str">
        <f t="shared" si="2"/>
        <v/>
      </c>
      <c r="M9" s="111"/>
      <c r="N9" s="111"/>
      <c r="O9" s="111"/>
      <c r="P9" s="111"/>
      <c r="Q9" s="111"/>
      <c r="T9">
        <v>75244436</v>
      </c>
      <c r="U9" t="s">
        <v>490</v>
      </c>
      <c r="V9" t="s">
        <v>480</v>
      </c>
    </row>
    <row r="10" spans="1:22" x14ac:dyDescent="0.3">
      <c r="A10" s="166"/>
      <c r="B10" s="111"/>
      <c r="C10" s="111"/>
      <c r="D10" s="111"/>
      <c r="E10" s="111"/>
      <c r="F10" s="70" t="str">
        <f t="shared" si="0"/>
        <v/>
      </c>
      <c r="G10" s="70" t="str">
        <f t="shared" si="1"/>
        <v/>
      </c>
      <c r="H10" s="111"/>
      <c r="I10" s="111"/>
      <c r="J10" s="111"/>
      <c r="K10" s="70" t="str">
        <f t="shared" si="3"/>
        <v/>
      </c>
      <c r="L10" s="36" t="str">
        <f t="shared" si="2"/>
        <v/>
      </c>
      <c r="M10" s="111"/>
      <c r="N10" s="111"/>
      <c r="O10" s="111"/>
      <c r="P10" s="111"/>
      <c r="Q10" s="111"/>
      <c r="T10">
        <v>75253328</v>
      </c>
      <c r="U10" t="s">
        <v>483</v>
      </c>
      <c r="V10" t="s">
        <v>480</v>
      </c>
    </row>
    <row r="11" spans="1:22" x14ac:dyDescent="0.3">
      <c r="A11" s="166"/>
      <c r="B11" s="111"/>
      <c r="C11" s="111"/>
      <c r="D11" s="111"/>
      <c r="E11" s="111"/>
      <c r="F11" s="70" t="str">
        <f t="shared" si="0"/>
        <v/>
      </c>
      <c r="G11" s="70" t="str">
        <f t="shared" si="1"/>
        <v/>
      </c>
      <c r="H11" s="111"/>
      <c r="I11" s="111"/>
      <c r="J11" s="111"/>
      <c r="K11" s="70" t="str">
        <f t="shared" si="3"/>
        <v/>
      </c>
      <c r="L11" s="36" t="str">
        <f t="shared" si="2"/>
        <v/>
      </c>
      <c r="M11" s="111"/>
      <c r="N11" s="111"/>
      <c r="O11" s="111"/>
      <c r="P11" s="111"/>
      <c r="Q11" s="111"/>
      <c r="T11">
        <v>75253329</v>
      </c>
      <c r="U11" t="s">
        <v>482</v>
      </c>
      <c r="V11" t="s">
        <v>480</v>
      </c>
    </row>
    <row r="12" spans="1:22" x14ac:dyDescent="0.3">
      <c r="A12" s="166"/>
      <c r="B12" s="111"/>
      <c r="C12" s="111"/>
      <c r="D12" s="111"/>
      <c r="E12" s="111"/>
      <c r="F12" s="70" t="str">
        <f t="shared" si="0"/>
        <v/>
      </c>
      <c r="G12" s="70" t="str">
        <f t="shared" si="1"/>
        <v/>
      </c>
      <c r="H12" s="111"/>
      <c r="I12" s="111"/>
      <c r="J12" s="111"/>
      <c r="K12" s="70" t="str">
        <f t="shared" si="3"/>
        <v/>
      </c>
      <c r="L12" s="36" t="str">
        <f t="shared" si="2"/>
        <v/>
      </c>
      <c r="M12" s="111"/>
      <c r="N12" s="111"/>
      <c r="O12" s="111"/>
      <c r="P12" s="111"/>
      <c r="Q12" s="111"/>
      <c r="T12">
        <v>75437610</v>
      </c>
      <c r="U12" t="s">
        <v>472</v>
      </c>
      <c r="V12" t="s">
        <v>470</v>
      </c>
    </row>
    <row r="13" spans="1:22" x14ac:dyDescent="0.3">
      <c r="A13" s="166"/>
      <c r="B13" s="111"/>
      <c r="C13" s="111"/>
      <c r="D13" s="111"/>
      <c r="E13" s="111"/>
      <c r="F13" s="70" t="str">
        <f t="shared" si="0"/>
        <v/>
      </c>
      <c r="G13" s="70" t="str">
        <f t="shared" si="1"/>
        <v/>
      </c>
      <c r="H13" s="111"/>
      <c r="I13" s="111"/>
      <c r="J13" s="111"/>
      <c r="K13" s="70" t="str">
        <f t="shared" si="3"/>
        <v/>
      </c>
      <c r="L13" s="36" t="str">
        <f t="shared" si="2"/>
        <v/>
      </c>
      <c r="M13" s="111"/>
      <c r="N13" s="111"/>
      <c r="O13" s="111"/>
      <c r="P13" s="111"/>
      <c r="Q13" s="111"/>
      <c r="T13">
        <v>75437612</v>
      </c>
      <c r="U13" t="s">
        <v>481</v>
      </c>
      <c r="V13" t="s">
        <v>477</v>
      </c>
    </row>
    <row r="14" spans="1:22" x14ac:dyDescent="0.3">
      <c r="A14" s="166"/>
      <c r="B14" s="111"/>
      <c r="C14" s="111"/>
      <c r="D14" s="111"/>
      <c r="E14" s="111"/>
      <c r="F14" s="70" t="str">
        <f t="shared" si="0"/>
        <v/>
      </c>
      <c r="G14" s="70" t="str">
        <f t="shared" si="1"/>
        <v/>
      </c>
      <c r="H14" s="111"/>
      <c r="I14" s="111"/>
      <c r="J14" s="111"/>
      <c r="K14" s="70" t="str">
        <f t="shared" si="3"/>
        <v/>
      </c>
      <c r="L14" s="36" t="str">
        <f t="shared" si="2"/>
        <v/>
      </c>
      <c r="M14" s="111"/>
      <c r="N14" s="111"/>
      <c r="O14" s="111"/>
      <c r="P14" s="111"/>
      <c r="Q14" s="111"/>
      <c r="T14">
        <v>75437613</v>
      </c>
      <c r="U14" t="s">
        <v>478</v>
      </c>
      <c r="V14" t="s">
        <v>477</v>
      </c>
    </row>
    <row r="15" spans="1:22" x14ac:dyDescent="0.3">
      <c r="A15" s="166"/>
      <c r="B15" s="111"/>
      <c r="C15" s="111"/>
      <c r="D15" s="111"/>
      <c r="E15" s="111"/>
      <c r="F15" s="70" t="str">
        <f t="shared" si="0"/>
        <v/>
      </c>
      <c r="G15" s="70" t="str">
        <f t="shared" si="1"/>
        <v/>
      </c>
      <c r="H15" s="111"/>
      <c r="I15" s="111"/>
      <c r="J15" s="111"/>
      <c r="K15" s="70" t="str">
        <f t="shared" si="3"/>
        <v/>
      </c>
      <c r="L15" s="36" t="str">
        <f t="shared" si="2"/>
        <v/>
      </c>
      <c r="M15" s="111"/>
      <c r="N15" s="111"/>
      <c r="O15" s="111"/>
      <c r="P15" s="111"/>
      <c r="Q15" s="111"/>
      <c r="T15">
        <v>75437614</v>
      </c>
      <c r="U15" t="s">
        <v>475</v>
      </c>
      <c r="V15" t="s">
        <v>470</v>
      </c>
    </row>
    <row r="16" spans="1:22" x14ac:dyDescent="0.3">
      <c r="A16" s="166"/>
      <c r="B16" s="111"/>
      <c r="C16" s="111"/>
      <c r="D16" s="111"/>
      <c r="E16" s="111"/>
      <c r="F16" s="70" t="str">
        <f t="shared" si="0"/>
        <v/>
      </c>
      <c r="G16" s="70" t="str">
        <f t="shared" si="1"/>
        <v/>
      </c>
      <c r="H16" s="111"/>
      <c r="I16" s="111"/>
      <c r="J16" s="111"/>
      <c r="K16" s="70" t="str">
        <f t="shared" si="3"/>
        <v/>
      </c>
      <c r="L16" s="36" t="str">
        <f t="shared" si="2"/>
        <v/>
      </c>
      <c r="M16" s="111"/>
      <c r="N16" s="111"/>
      <c r="O16" s="111"/>
      <c r="P16" s="111"/>
      <c r="Q16" s="111"/>
      <c r="T16">
        <v>75437615</v>
      </c>
      <c r="U16" t="s">
        <v>476</v>
      </c>
      <c r="V16" t="s">
        <v>477</v>
      </c>
    </row>
    <row r="17" spans="1:22" x14ac:dyDescent="0.3">
      <c r="A17" s="166"/>
      <c r="B17" s="111"/>
      <c r="C17" s="111"/>
      <c r="D17" s="111"/>
      <c r="E17" s="111"/>
      <c r="F17" s="70" t="str">
        <f t="shared" si="0"/>
        <v/>
      </c>
      <c r="G17" s="70" t="str">
        <f t="shared" si="1"/>
        <v/>
      </c>
      <c r="H17" s="111"/>
      <c r="I17" s="111"/>
      <c r="J17" s="111"/>
      <c r="K17" s="70" t="str">
        <f t="shared" si="3"/>
        <v/>
      </c>
      <c r="L17" s="36" t="str">
        <f t="shared" si="2"/>
        <v/>
      </c>
      <c r="M17" s="111"/>
      <c r="N17" s="111"/>
      <c r="O17" s="111"/>
      <c r="P17" s="111"/>
      <c r="Q17" s="111"/>
      <c r="T17">
        <v>75437616</v>
      </c>
      <c r="U17" t="s">
        <v>473</v>
      </c>
      <c r="V17" t="s">
        <v>470</v>
      </c>
    </row>
    <row r="18" spans="1:22" x14ac:dyDescent="0.3">
      <c r="A18" s="166"/>
      <c r="B18" s="111"/>
      <c r="C18" s="111"/>
      <c r="D18" s="111"/>
      <c r="E18" s="111"/>
      <c r="F18" s="70" t="str">
        <f t="shared" si="0"/>
        <v/>
      </c>
      <c r="G18" s="70" t="str">
        <f t="shared" si="1"/>
        <v/>
      </c>
      <c r="H18" s="111"/>
      <c r="I18" s="111"/>
      <c r="J18" s="111"/>
      <c r="K18" s="70" t="str">
        <f t="shared" si="3"/>
        <v/>
      </c>
      <c r="L18" s="36" t="str">
        <f t="shared" si="2"/>
        <v/>
      </c>
      <c r="M18" s="111"/>
      <c r="N18" s="111"/>
      <c r="O18" s="111"/>
      <c r="P18" s="111"/>
      <c r="Q18" s="111"/>
      <c r="T18">
        <v>75437617</v>
      </c>
      <c r="U18" t="s">
        <v>487</v>
      </c>
      <c r="V18" t="s">
        <v>477</v>
      </c>
    </row>
    <row r="19" spans="1:22" x14ac:dyDescent="0.3">
      <c r="A19" s="166"/>
      <c r="B19" s="111"/>
      <c r="C19" s="111"/>
      <c r="D19" s="111"/>
      <c r="E19" s="111"/>
      <c r="F19" s="70" t="str">
        <f t="shared" si="0"/>
        <v/>
      </c>
      <c r="G19" s="70" t="str">
        <f t="shared" si="1"/>
        <v/>
      </c>
      <c r="H19" s="111"/>
      <c r="I19" s="111"/>
      <c r="J19" s="111"/>
      <c r="K19" s="70" t="str">
        <f t="shared" si="3"/>
        <v/>
      </c>
      <c r="L19" s="36" t="str">
        <f t="shared" si="2"/>
        <v/>
      </c>
      <c r="M19" s="111"/>
      <c r="N19" s="111"/>
      <c r="O19" s="111"/>
      <c r="P19" s="111"/>
      <c r="Q19" s="111"/>
      <c r="T19">
        <v>75437618</v>
      </c>
      <c r="U19" t="s">
        <v>484</v>
      </c>
      <c r="V19" t="s">
        <v>477</v>
      </c>
    </row>
    <row r="20" spans="1:22" x14ac:dyDescent="0.3">
      <c r="A20" s="166"/>
      <c r="B20" s="111"/>
      <c r="C20" s="111"/>
      <c r="D20" s="111"/>
      <c r="E20" s="111"/>
      <c r="F20" s="70" t="str">
        <f t="shared" si="0"/>
        <v/>
      </c>
      <c r="G20" s="70" t="str">
        <f t="shared" si="1"/>
        <v/>
      </c>
      <c r="H20" s="111"/>
      <c r="I20" s="111"/>
      <c r="J20" s="111"/>
      <c r="K20" s="70" t="str">
        <f t="shared" si="3"/>
        <v/>
      </c>
      <c r="L20" s="36" t="str">
        <f t="shared" si="2"/>
        <v/>
      </c>
      <c r="M20" s="111"/>
      <c r="N20" s="111"/>
      <c r="O20" s="111"/>
      <c r="P20" s="111"/>
      <c r="Q20" s="111"/>
      <c r="T20">
        <v>75437619</v>
      </c>
      <c r="U20" t="s">
        <v>485</v>
      </c>
      <c r="V20" t="s">
        <v>477</v>
      </c>
    </row>
    <row r="21" spans="1:22" x14ac:dyDescent="0.3">
      <c r="A21" s="166"/>
      <c r="B21" s="111"/>
      <c r="C21" s="111"/>
      <c r="D21" s="111"/>
      <c r="E21" s="111"/>
      <c r="F21" s="70" t="str">
        <f t="shared" si="0"/>
        <v/>
      </c>
      <c r="G21" s="70" t="str">
        <f t="shared" si="1"/>
        <v/>
      </c>
      <c r="H21" s="111"/>
      <c r="I21" s="111"/>
      <c r="J21" s="111"/>
      <c r="K21" s="70" t="str">
        <f t="shared" si="3"/>
        <v/>
      </c>
      <c r="L21" s="36" t="str">
        <f t="shared" si="2"/>
        <v/>
      </c>
      <c r="M21" s="111"/>
      <c r="N21" s="111"/>
      <c r="O21" s="111"/>
      <c r="P21" s="111"/>
      <c r="Q21" s="111"/>
      <c r="T21">
        <v>75437620</v>
      </c>
      <c r="U21" t="s">
        <v>486</v>
      </c>
      <c r="V21" t="s">
        <v>477</v>
      </c>
    </row>
    <row r="22" spans="1:22" x14ac:dyDescent="0.3">
      <c r="A22" s="166"/>
      <c r="B22" s="111"/>
      <c r="C22" s="111"/>
      <c r="D22" s="111"/>
      <c r="E22" s="111"/>
      <c r="F22" s="70" t="str">
        <f t="shared" si="0"/>
        <v/>
      </c>
      <c r="G22" s="70" t="str">
        <f t="shared" si="1"/>
        <v/>
      </c>
      <c r="H22" s="111"/>
      <c r="I22" s="111"/>
      <c r="J22" s="111"/>
      <c r="K22" s="70" t="str">
        <f t="shared" si="3"/>
        <v/>
      </c>
      <c r="L22" s="36" t="str">
        <f t="shared" si="2"/>
        <v/>
      </c>
      <c r="M22" s="111"/>
      <c r="N22" s="111"/>
      <c r="O22" s="111"/>
      <c r="P22" s="111"/>
      <c r="Q22" s="111"/>
      <c r="T22">
        <v>75437621</v>
      </c>
      <c r="U22" t="s">
        <v>471</v>
      </c>
      <c r="V22" t="s">
        <v>470</v>
      </c>
    </row>
    <row r="23" spans="1:22" x14ac:dyDescent="0.3">
      <c r="A23" s="166"/>
      <c r="B23" s="111"/>
      <c r="C23" s="111"/>
      <c r="D23" s="111"/>
      <c r="E23" s="111"/>
      <c r="F23" s="70" t="str">
        <f t="shared" si="0"/>
        <v/>
      </c>
      <c r="G23" s="70" t="str">
        <f t="shared" si="1"/>
        <v/>
      </c>
      <c r="H23" s="111"/>
      <c r="I23" s="111"/>
      <c r="J23" s="111"/>
      <c r="K23" s="70" t="str">
        <f t="shared" si="3"/>
        <v/>
      </c>
      <c r="L23" s="36" t="str">
        <f t="shared" si="2"/>
        <v/>
      </c>
      <c r="M23" s="111"/>
      <c r="N23" s="111"/>
      <c r="O23" s="111"/>
      <c r="P23" s="111"/>
      <c r="Q23" s="111"/>
      <c r="T23">
        <v>75437623</v>
      </c>
      <c r="U23" t="s">
        <v>474</v>
      </c>
      <c r="V23" t="s">
        <v>470</v>
      </c>
    </row>
    <row r="24" spans="1:22" x14ac:dyDescent="0.3">
      <c r="A24" s="166"/>
      <c r="B24" s="111"/>
      <c r="C24" s="111"/>
      <c r="D24" s="111"/>
      <c r="E24" s="111"/>
      <c r="F24" s="70" t="str">
        <f t="shared" si="0"/>
        <v/>
      </c>
      <c r="G24" s="70" t="str">
        <f t="shared" si="1"/>
        <v/>
      </c>
      <c r="H24" s="111"/>
      <c r="I24" s="111"/>
      <c r="J24" s="111"/>
      <c r="K24" s="70" t="str">
        <f t="shared" si="3"/>
        <v/>
      </c>
      <c r="L24" s="36" t="str">
        <f t="shared" si="2"/>
        <v/>
      </c>
      <c r="M24" s="111"/>
      <c r="N24" s="111"/>
      <c r="O24" s="111"/>
      <c r="P24" s="111"/>
      <c r="Q24" s="111"/>
    </row>
    <row r="25" spans="1:22" x14ac:dyDescent="0.3">
      <c r="A25" s="166"/>
      <c r="B25" s="111"/>
      <c r="C25" s="111"/>
      <c r="D25" s="111"/>
      <c r="E25" s="111"/>
      <c r="F25" s="70" t="str">
        <f t="shared" si="0"/>
        <v/>
      </c>
      <c r="G25" s="70" t="str">
        <f t="shared" si="1"/>
        <v/>
      </c>
      <c r="H25" s="111"/>
      <c r="I25" s="111"/>
      <c r="J25" s="111"/>
      <c r="K25" s="70" t="str">
        <f t="shared" si="3"/>
        <v/>
      </c>
      <c r="L25" s="36" t="str">
        <f t="shared" si="2"/>
        <v/>
      </c>
      <c r="M25" s="111"/>
      <c r="N25" s="111"/>
      <c r="O25" s="111"/>
      <c r="P25" s="111"/>
      <c r="Q25" s="111"/>
    </row>
    <row r="26" spans="1:22" x14ac:dyDescent="0.3">
      <c r="A26" s="166"/>
      <c r="B26" s="111"/>
      <c r="C26" s="111"/>
      <c r="D26" s="111"/>
      <c r="E26" s="111"/>
      <c r="F26" s="70" t="str">
        <f t="shared" si="0"/>
        <v/>
      </c>
      <c r="G26" s="70" t="str">
        <f t="shared" si="1"/>
        <v/>
      </c>
      <c r="H26" s="111"/>
      <c r="I26" s="111"/>
      <c r="J26" s="111"/>
      <c r="K26" s="70" t="str">
        <f t="shared" si="3"/>
        <v/>
      </c>
      <c r="L26" s="36" t="str">
        <f t="shared" si="2"/>
        <v/>
      </c>
      <c r="M26" s="111"/>
      <c r="N26" s="111"/>
      <c r="O26" s="111"/>
      <c r="P26" s="111"/>
      <c r="Q26" s="111"/>
    </row>
    <row r="27" spans="1:22" x14ac:dyDescent="0.3">
      <c r="A27" s="166"/>
      <c r="B27" s="111"/>
      <c r="C27" s="111"/>
      <c r="D27" s="111"/>
      <c r="E27" s="111"/>
      <c r="F27" s="70" t="str">
        <f t="shared" si="0"/>
        <v/>
      </c>
      <c r="G27" s="70" t="str">
        <f t="shared" si="1"/>
        <v/>
      </c>
      <c r="H27" s="111"/>
      <c r="I27" s="111"/>
      <c r="J27" s="111"/>
      <c r="K27" s="70" t="str">
        <f t="shared" si="3"/>
        <v/>
      </c>
      <c r="L27" s="36" t="str">
        <f t="shared" si="2"/>
        <v/>
      </c>
      <c r="M27" s="111"/>
      <c r="N27" s="111"/>
      <c r="O27" s="111"/>
      <c r="P27" s="111"/>
      <c r="Q27" s="111"/>
    </row>
    <row r="28" spans="1:22" x14ac:dyDescent="0.3">
      <c r="A28" s="166"/>
      <c r="B28" s="111"/>
      <c r="C28" s="111"/>
      <c r="D28" s="111"/>
      <c r="E28" s="111"/>
      <c r="F28" s="70" t="str">
        <f t="shared" si="0"/>
        <v/>
      </c>
      <c r="G28" s="70" t="str">
        <f t="shared" si="1"/>
        <v/>
      </c>
      <c r="H28" s="111"/>
      <c r="I28" s="111"/>
      <c r="J28" s="111"/>
      <c r="K28" s="70" t="str">
        <f t="shared" si="3"/>
        <v/>
      </c>
      <c r="L28" s="36" t="str">
        <f t="shared" si="2"/>
        <v/>
      </c>
      <c r="M28" s="111"/>
      <c r="N28" s="111"/>
      <c r="O28" s="111"/>
      <c r="P28" s="111"/>
      <c r="Q28" s="111"/>
    </row>
    <row r="29" spans="1:22" x14ac:dyDescent="0.3">
      <c r="A29" s="166"/>
      <c r="B29" s="111"/>
      <c r="C29" s="111"/>
      <c r="D29" s="111"/>
      <c r="E29" s="111"/>
      <c r="F29" s="70" t="str">
        <f t="shared" si="0"/>
        <v/>
      </c>
      <c r="G29" s="70" t="str">
        <f t="shared" si="1"/>
        <v/>
      </c>
      <c r="H29" s="111"/>
      <c r="I29" s="111"/>
      <c r="J29" s="111"/>
      <c r="K29" s="70" t="str">
        <f t="shared" si="3"/>
        <v/>
      </c>
      <c r="L29" s="36" t="str">
        <f t="shared" si="2"/>
        <v/>
      </c>
      <c r="M29" s="111"/>
      <c r="N29" s="111"/>
      <c r="O29" s="111"/>
      <c r="P29" s="111"/>
      <c r="Q29" s="111"/>
    </row>
    <row r="30" spans="1:22" x14ac:dyDescent="0.3">
      <c r="A30" s="166"/>
      <c r="B30" s="111"/>
      <c r="C30" s="111"/>
      <c r="D30" s="111"/>
      <c r="E30" s="111"/>
      <c r="F30" s="70" t="str">
        <f t="shared" si="0"/>
        <v/>
      </c>
      <c r="G30" s="70" t="str">
        <f t="shared" si="1"/>
        <v/>
      </c>
      <c r="H30" s="111"/>
      <c r="I30" s="111"/>
      <c r="J30" s="111"/>
      <c r="K30" s="70" t="str">
        <f t="shared" si="3"/>
        <v/>
      </c>
      <c r="L30" s="36" t="str">
        <f t="shared" si="2"/>
        <v/>
      </c>
      <c r="M30" s="111"/>
      <c r="N30" s="111"/>
      <c r="O30" s="111"/>
      <c r="P30" s="111"/>
      <c r="Q30" s="111"/>
    </row>
    <row r="31" spans="1:22" x14ac:dyDescent="0.3">
      <c r="A31" s="166"/>
      <c r="B31" s="111"/>
      <c r="C31" s="111"/>
      <c r="D31" s="111"/>
      <c r="E31" s="111"/>
      <c r="F31" s="70" t="str">
        <f t="shared" si="0"/>
        <v/>
      </c>
      <c r="G31" s="70" t="str">
        <f t="shared" si="1"/>
        <v/>
      </c>
      <c r="H31" s="111"/>
      <c r="I31" s="111"/>
      <c r="J31" s="111"/>
      <c r="K31" s="70" t="str">
        <f t="shared" si="3"/>
        <v/>
      </c>
      <c r="L31" s="36" t="str">
        <f t="shared" si="2"/>
        <v/>
      </c>
      <c r="M31" s="111"/>
      <c r="N31" s="111"/>
      <c r="O31" s="111"/>
      <c r="P31" s="111"/>
      <c r="Q31" s="111"/>
    </row>
    <row r="32" spans="1:22" x14ac:dyDescent="0.3">
      <c r="A32" s="166"/>
      <c r="B32" s="111"/>
      <c r="C32" s="111"/>
      <c r="D32" s="111"/>
      <c r="E32" s="111"/>
      <c r="F32" s="70" t="str">
        <f t="shared" si="0"/>
        <v/>
      </c>
      <c r="G32" s="70" t="str">
        <f t="shared" si="1"/>
        <v/>
      </c>
      <c r="H32" s="111"/>
      <c r="I32" s="111"/>
      <c r="J32" s="111"/>
      <c r="K32" s="70" t="str">
        <f t="shared" si="3"/>
        <v/>
      </c>
      <c r="L32" s="36" t="str">
        <f t="shared" si="2"/>
        <v/>
      </c>
      <c r="M32" s="111"/>
      <c r="N32" s="111"/>
      <c r="O32" s="111"/>
      <c r="P32" s="111"/>
      <c r="Q32" s="111"/>
    </row>
    <row r="33" spans="1:17" x14ac:dyDescent="0.3">
      <c r="A33" s="166"/>
      <c r="B33" s="111"/>
      <c r="C33" s="111"/>
      <c r="D33" s="111"/>
      <c r="E33" s="111"/>
      <c r="F33" s="70" t="str">
        <f t="shared" si="0"/>
        <v/>
      </c>
      <c r="G33" s="70" t="str">
        <f t="shared" si="1"/>
        <v/>
      </c>
      <c r="H33" s="111"/>
      <c r="I33" s="111"/>
      <c r="J33" s="111"/>
      <c r="K33" s="70" t="str">
        <f t="shared" si="3"/>
        <v/>
      </c>
      <c r="L33" s="36" t="str">
        <f t="shared" si="2"/>
        <v/>
      </c>
      <c r="M33" s="111"/>
      <c r="N33" s="111"/>
      <c r="O33" s="111"/>
      <c r="P33" s="111"/>
      <c r="Q33" s="111"/>
    </row>
    <row r="34" spans="1:17" x14ac:dyDescent="0.3">
      <c r="A34" s="166"/>
      <c r="B34" s="111"/>
      <c r="C34" s="111"/>
      <c r="D34" s="111"/>
      <c r="E34" s="111"/>
      <c r="F34" s="70" t="str">
        <f t="shared" si="0"/>
        <v/>
      </c>
      <c r="G34" s="70" t="str">
        <f t="shared" si="1"/>
        <v/>
      </c>
      <c r="H34" s="111"/>
      <c r="I34" s="111"/>
      <c r="J34" s="111"/>
      <c r="K34" s="70" t="str">
        <f t="shared" si="3"/>
        <v/>
      </c>
      <c r="L34" s="36" t="str">
        <f t="shared" si="2"/>
        <v/>
      </c>
      <c r="M34" s="111"/>
      <c r="N34" s="111"/>
      <c r="O34" s="111"/>
      <c r="P34" s="111"/>
      <c r="Q34" s="111"/>
    </row>
    <row r="35" spans="1:17" x14ac:dyDescent="0.3">
      <c r="A35" s="166"/>
      <c r="B35" s="111"/>
      <c r="C35" s="111"/>
      <c r="D35" s="111"/>
      <c r="E35" s="111"/>
      <c r="F35" s="70" t="str">
        <f t="shared" si="0"/>
        <v/>
      </c>
      <c r="G35" s="70" t="str">
        <f t="shared" si="1"/>
        <v/>
      </c>
      <c r="H35" s="111"/>
      <c r="I35" s="111"/>
      <c r="J35" s="111"/>
      <c r="K35" s="70" t="str">
        <f t="shared" si="3"/>
        <v/>
      </c>
      <c r="L35" s="36" t="str">
        <f t="shared" si="2"/>
        <v/>
      </c>
      <c r="M35" s="111"/>
      <c r="N35" s="111"/>
      <c r="O35" s="111"/>
      <c r="P35" s="111"/>
      <c r="Q35" s="111"/>
    </row>
    <row r="36" spans="1:17" x14ac:dyDescent="0.3">
      <c r="A36" s="166"/>
      <c r="B36" s="111"/>
      <c r="C36" s="111"/>
      <c r="D36" s="111"/>
      <c r="E36" s="111"/>
      <c r="F36" s="70" t="str">
        <f t="shared" si="0"/>
        <v/>
      </c>
      <c r="G36" s="70" t="str">
        <f t="shared" si="1"/>
        <v/>
      </c>
      <c r="H36" s="111"/>
      <c r="I36" s="111"/>
      <c r="J36" s="111"/>
      <c r="K36" s="70" t="str">
        <f t="shared" si="3"/>
        <v/>
      </c>
      <c r="L36" s="36" t="str">
        <f t="shared" si="2"/>
        <v/>
      </c>
      <c r="M36" s="111"/>
      <c r="N36" s="111"/>
      <c r="O36" s="111"/>
      <c r="P36" s="111"/>
      <c r="Q36" s="111"/>
    </row>
    <row r="37" spans="1:17" x14ac:dyDescent="0.3">
      <c r="A37" s="166"/>
      <c r="B37" s="111"/>
      <c r="C37" s="111"/>
      <c r="D37" s="111"/>
      <c r="E37" s="111"/>
      <c r="F37" s="70" t="str">
        <f t="shared" si="0"/>
        <v/>
      </c>
      <c r="G37" s="70" t="str">
        <f t="shared" si="1"/>
        <v/>
      </c>
      <c r="H37" s="111"/>
      <c r="I37" s="111"/>
      <c r="J37" s="111"/>
      <c r="K37" s="70" t="str">
        <f t="shared" si="3"/>
        <v/>
      </c>
      <c r="L37" s="36" t="str">
        <f t="shared" si="2"/>
        <v/>
      </c>
      <c r="M37" s="111"/>
      <c r="N37" s="111"/>
      <c r="O37" s="111"/>
      <c r="P37" s="111"/>
      <c r="Q37" s="111"/>
    </row>
    <row r="38" spans="1:17" x14ac:dyDescent="0.3">
      <c r="A38" s="166"/>
      <c r="B38" s="111"/>
      <c r="C38" s="111"/>
      <c r="D38" s="111"/>
      <c r="E38" s="111"/>
      <c r="F38" s="70" t="str">
        <f t="shared" ref="F38:F69" si="4">IFERROR(INDEX($U$3:$U$23,MATCH(E38,$T$3:$T$23,0)),"")</f>
        <v/>
      </c>
      <c r="G38" s="70" t="str">
        <f t="shared" ref="G38:G69" si="5">IFERROR(INDEX($V$3:$V$23,MATCH(E38,$T$3:$T$23,0)),"")</f>
        <v/>
      </c>
      <c r="H38" s="111"/>
      <c r="I38" s="111"/>
      <c r="J38" s="111"/>
      <c r="K38" s="70" t="str">
        <f t="shared" si="3"/>
        <v/>
      </c>
      <c r="L38" s="36" t="str">
        <f t="shared" ref="L38:L69" si="6">IFERROR(I38/H38,"")</f>
        <v/>
      </c>
      <c r="M38" s="111"/>
      <c r="N38" s="111"/>
      <c r="O38" s="111"/>
      <c r="P38" s="111"/>
      <c r="Q38" s="111"/>
    </row>
    <row r="39" spans="1:17" x14ac:dyDescent="0.3">
      <c r="A39" s="166"/>
      <c r="B39" s="111"/>
      <c r="C39" s="111"/>
      <c r="D39" s="111"/>
      <c r="E39" s="111"/>
      <c r="F39" s="70" t="str">
        <f t="shared" si="4"/>
        <v/>
      </c>
      <c r="G39" s="70" t="str">
        <f t="shared" si="5"/>
        <v/>
      </c>
      <c r="H39" s="111"/>
      <c r="I39" s="111"/>
      <c r="J39" s="111"/>
      <c r="K39" s="70" t="str">
        <f t="shared" ref="K39:K70" si="7">IF(COUNT(I39:J39)=0,"",I39+J39)</f>
        <v/>
      </c>
      <c r="L39" s="36" t="str">
        <f t="shared" si="6"/>
        <v/>
      </c>
      <c r="M39" s="111"/>
      <c r="N39" s="111"/>
      <c r="O39" s="111"/>
      <c r="P39" s="111"/>
      <c r="Q39" s="111"/>
    </row>
    <row r="40" spans="1:17" x14ac:dyDescent="0.3">
      <c r="A40" s="166"/>
      <c r="B40" s="111"/>
      <c r="C40" s="111"/>
      <c r="D40" s="111"/>
      <c r="E40" s="111"/>
      <c r="F40" s="70" t="str">
        <f t="shared" si="4"/>
        <v/>
      </c>
      <c r="G40" s="70" t="str">
        <f t="shared" si="5"/>
        <v/>
      </c>
      <c r="H40" s="111"/>
      <c r="I40" s="111"/>
      <c r="J40" s="111"/>
      <c r="K40" s="70" t="str">
        <f t="shared" si="7"/>
        <v/>
      </c>
      <c r="L40" s="36" t="str">
        <f t="shared" si="6"/>
        <v/>
      </c>
      <c r="M40" s="111"/>
      <c r="N40" s="111"/>
      <c r="O40" s="111"/>
      <c r="P40" s="111"/>
      <c r="Q40" s="111"/>
    </row>
    <row r="41" spans="1:17" x14ac:dyDescent="0.3">
      <c r="A41" s="166"/>
      <c r="B41" s="111"/>
      <c r="C41" s="111"/>
      <c r="D41" s="111"/>
      <c r="E41" s="111"/>
      <c r="F41" s="70" t="str">
        <f t="shared" si="4"/>
        <v/>
      </c>
      <c r="G41" s="70" t="str">
        <f t="shared" si="5"/>
        <v/>
      </c>
      <c r="H41" s="111"/>
      <c r="I41" s="111"/>
      <c r="J41" s="111"/>
      <c r="K41" s="70" t="str">
        <f t="shared" si="7"/>
        <v/>
      </c>
      <c r="L41" s="36" t="str">
        <f t="shared" si="6"/>
        <v/>
      </c>
      <c r="M41" s="111"/>
      <c r="N41" s="111"/>
      <c r="O41" s="111"/>
      <c r="P41" s="111"/>
      <c r="Q41" s="111"/>
    </row>
    <row r="42" spans="1:17" x14ac:dyDescent="0.3">
      <c r="A42" s="166"/>
      <c r="B42" s="111"/>
      <c r="C42" s="111"/>
      <c r="D42" s="111"/>
      <c r="E42" s="111"/>
      <c r="F42" s="70" t="str">
        <f t="shared" si="4"/>
        <v/>
      </c>
      <c r="G42" s="70" t="str">
        <f t="shared" si="5"/>
        <v/>
      </c>
      <c r="H42" s="111"/>
      <c r="I42" s="111"/>
      <c r="J42" s="111"/>
      <c r="K42" s="70" t="str">
        <f t="shared" si="7"/>
        <v/>
      </c>
      <c r="L42" s="36" t="str">
        <f t="shared" si="6"/>
        <v/>
      </c>
      <c r="M42" s="111"/>
      <c r="N42" s="111"/>
      <c r="O42" s="111"/>
      <c r="P42" s="111"/>
      <c r="Q42" s="111"/>
    </row>
    <row r="43" spans="1:17" x14ac:dyDescent="0.3">
      <c r="A43" s="166"/>
      <c r="B43" s="111"/>
      <c r="C43" s="111"/>
      <c r="D43" s="111"/>
      <c r="E43" s="111"/>
      <c r="F43" s="70" t="str">
        <f t="shared" si="4"/>
        <v/>
      </c>
      <c r="G43" s="70" t="str">
        <f t="shared" si="5"/>
        <v/>
      </c>
      <c r="H43" s="111"/>
      <c r="I43" s="111"/>
      <c r="J43" s="111"/>
      <c r="K43" s="70" t="str">
        <f t="shared" si="7"/>
        <v/>
      </c>
      <c r="L43" s="36" t="str">
        <f t="shared" si="6"/>
        <v/>
      </c>
      <c r="M43" s="111"/>
      <c r="N43" s="111"/>
      <c r="O43" s="111"/>
      <c r="P43" s="111"/>
      <c r="Q43" s="111"/>
    </row>
    <row r="44" spans="1:17" x14ac:dyDescent="0.3">
      <c r="A44" s="166"/>
      <c r="B44" s="111"/>
      <c r="C44" s="111"/>
      <c r="D44" s="111"/>
      <c r="E44" s="111"/>
      <c r="F44" s="70" t="str">
        <f t="shared" si="4"/>
        <v/>
      </c>
      <c r="G44" s="70" t="str">
        <f t="shared" si="5"/>
        <v/>
      </c>
      <c r="H44" s="111"/>
      <c r="I44" s="111"/>
      <c r="J44" s="111"/>
      <c r="K44" s="70" t="str">
        <f t="shared" si="7"/>
        <v/>
      </c>
      <c r="L44" s="36" t="str">
        <f t="shared" si="6"/>
        <v/>
      </c>
      <c r="M44" s="111"/>
      <c r="N44" s="111"/>
      <c r="O44" s="111"/>
      <c r="P44" s="111"/>
      <c r="Q44" s="111"/>
    </row>
    <row r="45" spans="1:17" x14ac:dyDescent="0.3">
      <c r="A45" s="166"/>
      <c r="B45" s="111"/>
      <c r="C45" s="111"/>
      <c r="D45" s="111"/>
      <c r="E45" s="111"/>
      <c r="F45" s="70" t="str">
        <f t="shared" si="4"/>
        <v/>
      </c>
      <c r="G45" s="70" t="str">
        <f t="shared" si="5"/>
        <v/>
      </c>
      <c r="H45" s="111"/>
      <c r="I45" s="111"/>
      <c r="J45" s="111"/>
      <c r="K45" s="70" t="str">
        <f t="shared" si="7"/>
        <v/>
      </c>
      <c r="L45" s="36" t="str">
        <f t="shared" si="6"/>
        <v/>
      </c>
      <c r="M45" s="111"/>
      <c r="N45" s="111"/>
      <c r="O45" s="111"/>
      <c r="P45" s="111"/>
      <c r="Q45" s="111"/>
    </row>
    <row r="46" spans="1:17" x14ac:dyDescent="0.3">
      <c r="A46" s="166"/>
      <c r="B46" s="111"/>
      <c r="C46" s="111"/>
      <c r="D46" s="111"/>
      <c r="E46" s="111"/>
      <c r="F46" s="70" t="str">
        <f t="shared" si="4"/>
        <v/>
      </c>
      <c r="G46" s="70" t="str">
        <f t="shared" si="5"/>
        <v/>
      </c>
      <c r="H46" s="111"/>
      <c r="I46" s="111"/>
      <c r="J46" s="111"/>
      <c r="K46" s="70" t="str">
        <f t="shared" si="7"/>
        <v/>
      </c>
      <c r="L46" s="36" t="str">
        <f t="shared" si="6"/>
        <v/>
      </c>
      <c r="M46" s="111"/>
      <c r="N46" s="111"/>
      <c r="O46" s="111"/>
      <c r="P46" s="111"/>
      <c r="Q46" s="111"/>
    </row>
    <row r="47" spans="1:17" x14ac:dyDescent="0.3">
      <c r="A47" s="166"/>
      <c r="B47" s="111"/>
      <c r="C47" s="111"/>
      <c r="D47" s="111"/>
      <c r="E47" s="111"/>
      <c r="F47" s="70" t="str">
        <f t="shared" si="4"/>
        <v/>
      </c>
      <c r="G47" s="70" t="str">
        <f t="shared" si="5"/>
        <v/>
      </c>
      <c r="H47" s="111"/>
      <c r="I47" s="111"/>
      <c r="J47" s="111"/>
      <c r="K47" s="70" t="str">
        <f t="shared" si="7"/>
        <v/>
      </c>
      <c r="L47" s="36" t="str">
        <f t="shared" si="6"/>
        <v/>
      </c>
      <c r="M47" s="111"/>
      <c r="N47" s="111"/>
      <c r="O47" s="111"/>
      <c r="P47" s="111"/>
      <c r="Q47" s="111"/>
    </row>
    <row r="48" spans="1:17" x14ac:dyDescent="0.3">
      <c r="A48" s="166"/>
      <c r="B48" s="111"/>
      <c r="C48" s="111"/>
      <c r="D48" s="111"/>
      <c r="E48" s="111"/>
      <c r="F48" s="70" t="str">
        <f t="shared" si="4"/>
        <v/>
      </c>
      <c r="G48" s="70" t="str">
        <f t="shared" si="5"/>
        <v/>
      </c>
      <c r="H48" s="111"/>
      <c r="I48" s="111"/>
      <c r="J48" s="111"/>
      <c r="K48" s="70" t="str">
        <f t="shared" si="7"/>
        <v/>
      </c>
      <c r="L48" s="36" t="str">
        <f t="shared" si="6"/>
        <v/>
      </c>
      <c r="M48" s="111"/>
      <c r="N48" s="111"/>
      <c r="O48" s="111"/>
      <c r="P48" s="111"/>
      <c r="Q48" s="111"/>
    </row>
    <row r="49" spans="1:17" x14ac:dyDescent="0.3">
      <c r="A49" s="166"/>
      <c r="B49" s="111"/>
      <c r="C49" s="111"/>
      <c r="D49" s="111"/>
      <c r="E49" s="111"/>
      <c r="F49" s="70" t="str">
        <f t="shared" si="4"/>
        <v/>
      </c>
      <c r="G49" s="70" t="str">
        <f t="shared" si="5"/>
        <v/>
      </c>
      <c r="H49" s="111"/>
      <c r="I49" s="111"/>
      <c r="J49" s="111"/>
      <c r="K49" s="70" t="str">
        <f t="shared" si="7"/>
        <v/>
      </c>
      <c r="L49" s="36" t="str">
        <f t="shared" si="6"/>
        <v/>
      </c>
      <c r="M49" s="111"/>
      <c r="N49" s="111"/>
      <c r="O49" s="111"/>
      <c r="P49" s="111"/>
      <c r="Q49" s="111"/>
    </row>
    <row r="50" spans="1:17" x14ac:dyDescent="0.3">
      <c r="A50" s="166"/>
      <c r="B50" s="111"/>
      <c r="C50" s="111"/>
      <c r="D50" s="111"/>
      <c r="E50" s="111"/>
      <c r="F50" s="70" t="str">
        <f t="shared" si="4"/>
        <v/>
      </c>
      <c r="G50" s="70" t="str">
        <f t="shared" si="5"/>
        <v/>
      </c>
      <c r="H50" s="111"/>
      <c r="I50" s="111"/>
      <c r="J50" s="111"/>
      <c r="K50" s="70" t="str">
        <f t="shared" si="7"/>
        <v/>
      </c>
      <c r="L50" s="36" t="str">
        <f t="shared" si="6"/>
        <v/>
      </c>
      <c r="M50" s="111"/>
      <c r="N50" s="111"/>
      <c r="O50" s="111"/>
      <c r="P50" s="111"/>
      <c r="Q50" s="111"/>
    </row>
    <row r="51" spans="1:17" x14ac:dyDescent="0.3">
      <c r="A51" s="166"/>
      <c r="B51" s="111"/>
      <c r="C51" s="111"/>
      <c r="D51" s="111"/>
      <c r="E51" s="111"/>
      <c r="F51" s="70" t="str">
        <f t="shared" si="4"/>
        <v/>
      </c>
      <c r="G51" s="70" t="str">
        <f t="shared" si="5"/>
        <v/>
      </c>
      <c r="H51" s="111"/>
      <c r="I51" s="111"/>
      <c r="J51" s="111"/>
      <c r="K51" s="70" t="str">
        <f t="shared" si="7"/>
        <v/>
      </c>
      <c r="L51" s="36" t="str">
        <f t="shared" si="6"/>
        <v/>
      </c>
      <c r="M51" s="111"/>
      <c r="N51" s="111"/>
      <c r="O51" s="111"/>
      <c r="P51" s="111"/>
      <c r="Q51" s="111"/>
    </row>
    <row r="52" spans="1:17" x14ac:dyDescent="0.3">
      <c r="A52" s="166"/>
      <c r="B52" s="111"/>
      <c r="C52" s="111"/>
      <c r="D52" s="111"/>
      <c r="E52" s="111"/>
      <c r="F52" s="70" t="str">
        <f t="shared" si="4"/>
        <v/>
      </c>
      <c r="G52" s="70" t="str">
        <f t="shared" si="5"/>
        <v/>
      </c>
      <c r="H52" s="111"/>
      <c r="I52" s="111"/>
      <c r="J52" s="111"/>
      <c r="K52" s="70" t="str">
        <f t="shared" si="7"/>
        <v/>
      </c>
      <c r="L52" s="36" t="str">
        <f t="shared" si="6"/>
        <v/>
      </c>
      <c r="M52" s="111"/>
      <c r="N52" s="111"/>
      <c r="O52" s="111"/>
      <c r="P52" s="111"/>
      <c r="Q52" s="111"/>
    </row>
    <row r="53" spans="1:17" x14ac:dyDescent="0.3">
      <c r="A53" s="166"/>
      <c r="B53" s="111"/>
      <c r="C53" s="111"/>
      <c r="D53" s="111"/>
      <c r="E53" s="111"/>
      <c r="F53" s="70" t="str">
        <f t="shared" si="4"/>
        <v/>
      </c>
      <c r="G53" s="70" t="str">
        <f t="shared" si="5"/>
        <v/>
      </c>
      <c r="H53" s="111"/>
      <c r="I53" s="111"/>
      <c r="J53" s="111"/>
      <c r="K53" s="70" t="str">
        <f t="shared" si="7"/>
        <v/>
      </c>
      <c r="L53" s="36" t="str">
        <f t="shared" si="6"/>
        <v/>
      </c>
      <c r="M53" s="111"/>
      <c r="N53" s="111"/>
      <c r="O53" s="111"/>
      <c r="P53" s="111"/>
      <c r="Q53" s="111"/>
    </row>
    <row r="54" spans="1:17" x14ac:dyDescent="0.3">
      <c r="A54" s="166"/>
      <c r="B54" s="111"/>
      <c r="C54" s="111"/>
      <c r="D54" s="111"/>
      <c r="E54" s="111"/>
      <c r="F54" s="70" t="str">
        <f t="shared" si="4"/>
        <v/>
      </c>
      <c r="G54" s="70" t="str">
        <f t="shared" si="5"/>
        <v/>
      </c>
      <c r="H54" s="111"/>
      <c r="I54" s="111"/>
      <c r="J54" s="111"/>
      <c r="K54" s="70" t="str">
        <f t="shared" si="7"/>
        <v/>
      </c>
      <c r="L54" s="36" t="str">
        <f t="shared" si="6"/>
        <v/>
      </c>
      <c r="M54" s="111"/>
      <c r="N54" s="111"/>
      <c r="O54" s="111"/>
      <c r="P54" s="111"/>
      <c r="Q54" s="111"/>
    </row>
    <row r="55" spans="1:17" x14ac:dyDescent="0.3">
      <c r="A55" s="166"/>
      <c r="B55" s="111"/>
      <c r="C55" s="111"/>
      <c r="D55" s="111"/>
      <c r="E55" s="111"/>
      <c r="F55" s="70" t="str">
        <f t="shared" si="4"/>
        <v/>
      </c>
      <c r="G55" s="70" t="str">
        <f t="shared" si="5"/>
        <v/>
      </c>
      <c r="H55" s="111"/>
      <c r="I55" s="111"/>
      <c r="J55" s="111"/>
      <c r="K55" s="70" t="str">
        <f t="shared" si="7"/>
        <v/>
      </c>
      <c r="L55" s="36" t="str">
        <f t="shared" si="6"/>
        <v/>
      </c>
      <c r="M55" s="111"/>
      <c r="N55" s="111"/>
      <c r="O55" s="111"/>
      <c r="P55" s="111"/>
      <c r="Q55" s="111"/>
    </row>
    <row r="56" spans="1:17" x14ac:dyDescent="0.3">
      <c r="A56" s="166"/>
      <c r="B56" s="111"/>
      <c r="C56" s="111"/>
      <c r="D56" s="111"/>
      <c r="E56" s="111"/>
      <c r="F56" s="70" t="str">
        <f t="shared" si="4"/>
        <v/>
      </c>
      <c r="G56" s="70" t="str">
        <f t="shared" si="5"/>
        <v/>
      </c>
      <c r="H56" s="111"/>
      <c r="I56" s="111"/>
      <c r="J56" s="111"/>
      <c r="K56" s="70" t="str">
        <f t="shared" si="7"/>
        <v/>
      </c>
      <c r="L56" s="36" t="str">
        <f t="shared" si="6"/>
        <v/>
      </c>
      <c r="M56" s="111"/>
      <c r="N56" s="111"/>
      <c r="O56" s="111"/>
      <c r="P56" s="111"/>
      <c r="Q56" s="111"/>
    </row>
    <row r="57" spans="1:17" x14ac:dyDescent="0.3">
      <c r="A57" s="166"/>
      <c r="B57" s="111"/>
      <c r="C57" s="111"/>
      <c r="D57" s="111"/>
      <c r="E57" s="111"/>
      <c r="F57" s="70" t="str">
        <f t="shared" si="4"/>
        <v/>
      </c>
      <c r="G57" s="70" t="str">
        <f t="shared" si="5"/>
        <v/>
      </c>
      <c r="H57" s="111"/>
      <c r="I57" s="111"/>
      <c r="J57" s="111"/>
      <c r="K57" s="70" t="str">
        <f t="shared" si="7"/>
        <v/>
      </c>
      <c r="L57" s="36" t="str">
        <f t="shared" si="6"/>
        <v/>
      </c>
      <c r="M57" s="111"/>
      <c r="N57" s="111"/>
      <c r="O57" s="111"/>
      <c r="P57" s="111"/>
      <c r="Q57" s="111"/>
    </row>
    <row r="58" spans="1:17" x14ac:dyDescent="0.3">
      <c r="A58" s="166"/>
      <c r="B58" s="111"/>
      <c r="C58" s="111"/>
      <c r="D58" s="111"/>
      <c r="E58" s="111"/>
      <c r="F58" s="70" t="str">
        <f t="shared" si="4"/>
        <v/>
      </c>
      <c r="G58" s="70" t="str">
        <f t="shared" si="5"/>
        <v/>
      </c>
      <c r="H58" s="111"/>
      <c r="I58" s="111"/>
      <c r="J58" s="111"/>
      <c r="K58" s="70" t="str">
        <f t="shared" si="7"/>
        <v/>
      </c>
      <c r="L58" s="36" t="str">
        <f t="shared" si="6"/>
        <v/>
      </c>
      <c r="M58" s="111"/>
      <c r="N58" s="111"/>
      <c r="O58" s="111"/>
      <c r="P58" s="111"/>
      <c r="Q58" s="111"/>
    </row>
    <row r="59" spans="1:17" x14ac:dyDescent="0.3">
      <c r="A59" s="166"/>
      <c r="B59" s="111"/>
      <c r="C59" s="111"/>
      <c r="D59" s="111"/>
      <c r="E59" s="111"/>
      <c r="F59" s="70" t="str">
        <f t="shared" si="4"/>
        <v/>
      </c>
      <c r="G59" s="70" t="str">
        <f t="shared" si="5"/>
        <v/>
      </c>
      <c r="H59" s="111"/>
      <c r="I59" s="111"/>
      <c r="J59" s="111"/>
      <c r="K59" s="70" t="str">
        <f t="shared" si="7"/>
        <v/>
      </c>
      <c r="L59" s="36" t="str">
        <f t="shared" si="6"/>
        <v/>
      </c>
      <c r="M59" s="111"/>
      <c r="N59" s="111"/>
      <c r="O59" s="111"/>
      <c r="P59" s="111"/>
      <c r="Q59" s="111"/>
    </row>
    <row r="60" spans="1:17" x14ac:dyDescent="0.3">
      <c r="A60" s="166"/>
      <c r="B60" s="111"/>
      <c r="C60" s="111"/>
      <c r="D60" s="111"/>
      <c r="E60" s="111"/>
      <c r="F60" s="70" t="str">
        <f t="shared" si="4"/>
        <v/>
      </c>
      <c r="G60" s="70" t="str">
        <f t="shared" si="5"/>
        <v/>
      </c>
      <c r="H60" s="111"/>
      <c r="I60" s="111"/>
      <c r="J60" s="111"/>
      <c r="K60" s="70" t="str">
        <f t="shared" si="7"/>
        <v/>
      </c>
      <c r="L60" s="36" t="str">
        <f t="shared" si="6"/>
        <v/>
      </c>
      <c r="M60" s="111"/>
      <c r="N60" s="111"/>
      <c r="O60" s="111"/>
      <c r="P60" s="111"/>
      <c r="Q60" s="111"/>
    </row>
    <row r="61" spans="1:17" x14ac:dyDescent="0.3">
      <c r="A61" s="166"/>
      <c r="B61" s="111"/>
      <c r="C61" s="111"/>
      <c r="D61" s="111"/>
      <c r="E61" s="111"/>
      <c r="F61" s="70" t="str">
        <f t="shared" si="4"/>
        <v/>
      </c>
      <c r="G61" s="70" t="str">
        <f t="shared" si="5"/>
        <v/>
      </c>
      <c r="H61" s="111"/>
      <c r="I61" s="111"/>
      <c r="J61" s="111"/>
      <c r="K61" s="70" t="str">
        <f t="shared" si="7"/>
        <v/>
      </c>
      <c r="L61" s="36" t="str">
        <f t="shared" si="6"/>
        <v/>
      </c>
      <c r="M61" s="111"/>
      <c r="N61" s="111"/>
      <c r="O61" s="111"/>
      <c r="P61" s="111"/>
      <c r="Q61" s="111"/>
    </row>
    <row r="62" spans="1:17" x14ac:dyDescent="0.3">
      <c r="A62" s="166"/>
      <c r="B62" s="111"/>
      <c r="C62" s="111"/>
      <c r="D62" s="111"/>
      <c r="E62" s="111"/>
      <c r="F62" s="70" t="str">
        <f t="shared" si="4"/>
        <v/>
      </c>
      <c r="G62" s="70" t="str">
        <f t="shared" si="5"/>
        <v/>
      </c>
      <c r="H62" s="111"/>
      <c r="I62" s="111"/>
      <c r="J62" s="111"/>
      <c r="K62" s="70" t="str">
        <f t="shared" si="7"/>
        <v/>
      </c>
      <c r="L62" s="36" t="str">
        <f t="shared" si="6"/>
        <v/>
      </c>
      <c r="M62" s="111"/>
      <c r="N62" s="111"/>
      <c r="O62" s="111"/>
      <c r="P62" s="111"/>
      <c r="Q62" s="111"/>
    </row>
    <row r="63" spans="1:17" x14ac:dyDescent="0.3">
      <c r="A63" s="166"/>
      <c r="B63" s="111"/>
      <c r="C63" s="111"/>
      <c r="D63" s="111"/>
      <c r="E63" s="111"/>
      <c r="F63" s="70" t="str">
        <f t="shared" si="4"/>
        <v/>
      </c>
      <c r="G63" s="70" t="str">
        <f t="shared" si="5"/>
        <v/>
      </c>
      <c r="H63" s="111"/>
      <c r="I63" s="111"/>
      <c r="J63" s="111"/>
      <c r="K63" s="70" t="str">
        <f t="shared" si="7"/>
        <v/>
      </c>
      <c r="L63" s="36" t="str">
        <f t="shared" si="6"/>
        <v/>
      </c>
      <c r="M63" s="111"/>
      <c r="N63" s="111"/>
      <c r="O63" s="111"/>
      <c r="P63" s="111"/>
      <c r="Q63" s="111"/>
    </row>
    <row r="64" spans="1:17" x14ac:dyDescent="0.3">
      <c r="A64" s="166"/>
      <c r="B64" s="111"/>
      <c r="C64" s="111"/>
      <c r="D64" s="111"/>
      <c r="E64" s="111"/>
      <c r="F64" s="70" t="str">
        <f t="shared" si="4"/>
        <v/>
      </c>
      <c r="G64" s="70" t="str">
        <f t="shared" si="5"/>
        <v/>
      </c>
      <c r="H64" s="111"/>
      <c r="I64" s="111"/>
      <c r="J64" s="111"/>
      <c r="K64" s="70" t="str">
        <f t="shared" si="7"/>
        <v/>
      </c>
      <c r="L64" s="36" t="str">
        <f t="shared" si="6"/>
        <v/>
      </c>
      <c r="M64" s="111"/>
      <c r="N64" s="111"/>
      <c r="O64" s="111"/>
      <c r="P64" s="111"/>
      <c r="Q64" s="111"/>
    </row>
    <row r="65" spans="1:17" x14ac:dyDescent="0.3">
      <c r="A65" s="166"/>
      <c r="B65" s="111"/>
      <c r="C65" s="111"/>
      <c r="D65" s="111"/>
      <c r="E65" s="111"/>
      <c r="F65" s="70" t="str">
        <f t="shared" si="4"/>
        <v/>
      </c>
      <c r="G65" s="70" t="str">
        <f t="shared" si="5"/>
        <v/>
      </c>
      <c r="H65" s="111"/>
      <c r="I65" s="111"/>
      <c r="J65" s="111"/>
      <c r="K65" s="70" t="str">
        <f t="shared" si="7"/>
        <v/>
      </c>
      <c r="L65" s="36" t="str">
        <f t="shared" si="6"/>
        <v/>
      </c>
      <c r="M65" s="111"/>
      <c r="N65" s="111"/>
      <c r="O65" s="111"/>
      <c r="P65" s="111"/>
      <c r="Q65" s="111"/>
    </row>
    <row r="66" spans="1:17" x14ac:dyDescent="0.3">
      <c r="A66" s="166"/>
      <c r="B66" s="111"/>
      <c r="C66" s="111"/>
      <c r="D66" s="111"/>
      <c r="E66" s="111"/>
      <c r="F66" s="70" t="str">
        <f t="shared" si="4"/>
        <v/>
      </c>
      <c r="G66" s="70" t="str">
        <f t="shared" si="5"/>
        <v/>
      </c>
      <c r="H66" s="111"/>
      <c r="I66" s="111"/>
      <c r="J66" s="111"/>
      <c r="K66" s="70" t="str">
        <f t="shared" si="7"/>
        <v/>
      </c>
      <c r="L66" s="36" t="str">
        <f t="shared" si="6"/>
        <v/>
      </c>
      <c r="M66" s="111"/>
      <c r="N66" s="111"/>
      <c r="O66" s="111"/>
      <c r="P66" s="111"/>
      <c r="Q66" s="111"/>
    </row>
    <row r="67" spans="1:17" x14ac:dyDescent="0.3">
      <c r="A67" s="166"/>
      <c r="B67" s="111"/>
      <c r="C67" s="111"/>
      <c r="D67" s="111"/>
      <c r="E67" s="111"/>
      <c r="F67" s="70" t="str">
        <f t="shared" si="4"/>
        <v/>
      </c>
      <c r="G67" s="70" t="str">
        <f t="shared" si="5"/>
        <v/>
      </c>
      <c r="H67" s="111"/>
      <c r="I67" s="111"/>
      <c r="J67" s="111"/>
      <c r="K67" s="70" t="str">
        <f t="shared" si="7"/>
        <v/>
      </c>
      <c r="L67" s="36" t="str">
        <f t="shared" si="6"/>
        <v/>
      </c>
      <c r="M67" s="111"/>
      <c r="N67" s="111"/>
      <c r="O67" s="111"/>
      <c r="P67" s="111"/>
      <c r="Q67" s="111"/>
    </row>
    <row r="68" spans="1:17" x14ac:dyDescent="0.3">
      <c r="A68" s="166"/>
      <c r="B68" s="111"/>
      <c r="C68" s="111"/>
      <c r="D68" s="111"/>
      <c r="E68" s="111"/>
      <c r="F68" s="70" t="str">
        <f t="shared" si="4"/>
        <v/>
      </c>
      <c r="G68" s="70" t="str">
        <f t="shared" si="5"/>
        <v/>
      </c>
      <c r="H68" s="111"/>
      <c r="I68" s="111"/>
      <c r="J68" s="111"/>
      <c r="K68" s="70" t="str">
        <f t="shared" si="7"/>
        <v/>
      </c>
      <c r="L68" s="36" t="str">
        <f t="shared" si="6"/>
        <v/>
      </c>
      <c r="M68" s="111"/>
      <c r="N68" s="111"/>
      <c r="O68" s="111"/>
      <c r="P68" s="111"/>
      <c r="Q68" s="111"/>
    </row>
    <row r="69" spans="1:17" x14ac:dyDescent="0.3">
      <c r="A69" s="166"/>
      <c r="B69" s="111"/>
      <c r="C69" s="111"/>
      <c r="D69" s="111"/>
      <c r="E69" s="111"/>
      <c r="F69" s="70" t="str">
        <f t="shared" si="4"/>
        <v/>
      </c>
      <c r="G69" s="70" t="str">
        <f t="shared" si="5"/>
        <v/>
      </c>
      <c r="H69" s="111"/>
      <c r="I69" s="111"/>
      <c r="J69" s="111"/>
      <c r="K69" s="70" t="str">
        <f t="shared" si="7"/>
        <v/>
      </c>
      <c r="L69" s="36" t="str">
        <f t="shared" si="6"/>
        <v/>
      </c>
      <c r="M69" s="111"/>
      <c r="N69" s="111"/>
      <c r="O69" s="111"/>
      <c r="P69" s="111"/>
      <c r="Q69" s="111"/>
    </row>
    <row r="70" spans="1:17" x14ac:dyDescent="0.3">
      <c r="A70" s="166"/>
      <c r="B70" s="111"/>
      <c r="C70" s="111"/>
      <c r="D70" s="111"/>
      <c r="E70" s="111"/>
      <c r="F70" s="70" t="str">
        <f t="shared" ref="F70:F101" si="8">IFERROR(INDEX($U$3:$U$23,MATCH(E70,$T$3:$T$23,0)),"")</f>
        <v/>
      </c>
      <c r="G70" s="70" t="str">
        <f t="shared" ref="G70:G101" si="9">IFERROR(INDEX($V$3:$V$23,MATCH(E70,$T$3:$T$23,0)),"")</f>
        <v/>
      </c>
      <c r="H70" s="111"/>
      <c r="I70" s="111"/>
      <c r="J70" s="111"/>
      <c r="K70" s="70" t="str">
        <f t="shared" si="7"/>
        <v/>
      </c>
      <c r="L70" s="36" t="str">
        <f t="shared" ref="L70:L101" si="10">IFERROR(I70/H70,"")</f>
        <v/>
      </c>
      <c r="M70" s="111"/>
      <c r="N70" s="111"/>
      <c r="O70" s="111"/>
      <c r="P70" s="111"/>
      <c r="Q70" s="111"/>
    </row>
    <row r="71" spans="1:17" x14ac:dyDescent="0.3">
      <c r="A71" s="166"/>
      <c r="B71" s="111"/>
      <c r="C71" s="111"/>
      <c r="D71" s="111"/>
      <c r="E71" s="111"/>
      <c r="F71" s="70" t="str">
        <f t="shared" si="8"/>
        <v/>
      </c>
      <c r="G71" s="70" t="str">
        <f t="shared" si="9"/>
        <v/>
      </c>
      <c r="H71" s="111"/>
      <c r="I71" s="111"/>
      <c r="J71" s="111"/>
      <c r="K71" s="70" t="str">
        <f t="shared" ref="K71:K102" si="11">IF(COUNT(I71:J71)=0,"",I71+J71)</f>
        <v/>
      </c>
      <c r="L71" s="36" t="str">
        <f t="shared" si="10"/>
        <v/>
      </c>
      <c r="M71" s="111"/>
      <c r="N71" s="111"/>
      <c r="O71" s="111"/>
      <c r="P71" s="111"/>
      <c r="Q71" s="111"/>
    </row>
    <row r="72" spans="1:17" x14ac:dyDescent="0.3">
      <c r="A72" s="166"/>
      <c r="B72" s="111"/>
      <c r="C72" s="111"/>
      <c r="D72" s="111"/>
      <c r="E72" s="111"/>
      <c r="F72" s="70" t="str">
        <f t="shared" si="8"/>
        <v/>
      </c>
      <c r="G72" s="70" t="str">
        <f t="shared" si="9"/>
        <v/>
      </c>
      <c r="H72" s="111"/>
      <c r="I72" s="111"/>
      <c r="J72" s="111"/>
      <c r="K72" s="70" t="str">
        <f t="shared" si="11"/>
        <v/>
      </c>
      <c r="L72" s="36" t="str">
        <f t="shared" si="10"/>
        <v/>
      </c>
      <c r="M72" s="111"/>
      <c r="N72" s="111"/>
      <c r="O72" s="111"/>
      <c r="P72" s="111"/>
      <c r="Q72" s="111"/>
    </row>
    <row r="73" spans="1:17" x14ac:dyDescent="0.3">
      <c r="A73" s="166"/>
      <c r="B73" s="111"/>
      <c r="C73" s="111"/>
      <c r="D73" s="111"/>
      <c r="E73" s="111"/>
      <c r="F73" s="70" t="str">
        <f t="shared" si="8"/>
        <v/>
      </c>
      <c r="G73" s="70" t="str">
        <f t="shared" si="9"/>
        <v/>
      </c>
      <c r="H73" s="111"/>
      <c r="I73" s="111"/>
      <c r="J73" s="111"/>
      <c r="K73" s="70" t="str">
        <f t="shared" si="11"/>
        <v/>
      </c>
      <c r="L73" s="36" t="str">
        <f t="shared" si="10"/>
        <v/>
      </c>
      <c r="M73" s="111"/>
      <c r="N73" s="111"/>
      <c r="O73" s="111"/>
      <c r="P73" s="111"/>
      <c r="Q73" s="111"/>
    </row>
    <row r="74" spans="1:17" x14ac:dyDescent="0.3">
      <c r="A74" s="166"/>
      <c r="B74" s="111"/>
      <c r="C74" s="111"/>
      <c r="D74" s="111"/>
      <c r="E74" s="111"/>
      <c r="F74" s="70" t="str">
        <f t="shared" si="8"/>
        <v/>
      </c>
      <c r="G74" s="70" t="str">
        <f t="shared" si="9"/>
        <v/>
      </c>
      <c r="H74" s="111"/>
      <c r="I74" s="111"/>
      <c r="J74" s="111"/>
      <c r="K74" s="70" t="str">
        <f t="shared" si="11"/>
        <v/>
      </c>
      <c r="L74" s="36" t="str">
        <f t="shared" si="10"/>
        <v/>
      </c>
      <c r="M74" s="111"/>
      <c r="N74" s="111"/>
      <c r="O74" s="111"/>
      <c r="P74" s="111"/>
      <c r="Q74" s="111"/>
    </row>
    <row r="75" spans="1:17" x14ac:dyDescent="0.3">
      <c r="A75" s="166"/>
      <c r="B75" s="111"/>
      <c r="C75" s="111"/>
      <c r="D75" s="111"/>
      <c r="E75" s="111"/>
      <c r="F75" s="70" t="str">
        <f t="shared" si="8"/>
        <v/>
      </c>
      <c r="G75" s="70" t="str">
        <f t="shared" si="9"/>
        <v/>
      </c>
      <c r="H75" s="111"/>
      <c r="I75" s="111"/>
      <c r="J75" s="111"/>
      <c r="K75" s="70" t="str">
        <f t="shared" si="11"/>
        <v/>
      </c>
      <c r="L75" s="36" t="str">
        <f t="shared" si="10"/>
        <v/>
      </c>
      <c r="M75" s="111"/>
      <c r="N75" s="111"/>
      <c r="O75" s="111"/>
      <c r="P75" s="111"/>
      <c r="Q75" s="111"/>
    </row>
    <row r="76" spans="1:17" x14ac:dyDescent="0.3">
      <c r="A76" s="166"/>
      <c r="B76" s="111"/>
      <c r="C76" s="111"/>
      <c r="D76" s="111"/>
      <c r="E76" s="111"/>
      <c r="F76" s="70" t="str">
        <f t="shared" si="8"/>
        <v/>
      </c>
      <c r="G76" s="70" t="str">
        <f t="shared" si="9"/>
        <v/>
      </c>
      <c r="H76" s="111"/>
      <c r="I76" s="111"/>
      <c r="J76" s="111"/>
      <c r="K76" s="70" t="str">
        <f t="shared" si="11"/>
        <v/>
      </c>
      <c r="L76" s="36" t="str">
        <f t="shared" si="10"/>
        <v/>
      </c>
      <c r="M76" s="111"/>
      <c r="N76" s="111"/>
      <c r="O76" s="111"/>
      <c r="P76" s="111"/>
      <c r="Q76" s="111"/>
    </row>
    <row r="77" spans="1:17" x14ac:dyDescent="0.3">
      <c r="A77" s="166"/>
      <c r="B77" s="111"/>
      <c r="C77" s="111"/>
      <c r="D77" s="111"/>
      <c r="E77" s="111"/>
      <c r="F77" s="70" t="str">
        <f t="shared" si="8"/>
        <v/>
      </c>
      <c r="G77" s="70" t="str">
        <f t="shared" si="9"/>
        <v/>
      </c>
      <c r="H77" s="111"/>
      <c r="I77" s="111"/>
      <c r="J77" s="111"/>
      <c r="K77" s="70" t="str">
        <f t="shared" si="11"/>
        <v/>
      </c>
      <c r="L77" s="36" t="str">
        <f t="shared" si="10"/>
        <v/>
      </c>
      <c r="M77" s="111"/>
      <c r="N77" s="111"/>
      <c r="O77" s="111"/>
      <c r="P77" s="111"/>
      <c r="Q77" s="111"/>
    </row>
    <row r="78" spans="1:17" x14ac:dyDescent="0.3">
      <c r="A78" s="166"/>
      <c r="B78" s="111"/>
      <c r="C78" s="111"/>
      <c r="D78" s="111"/>
      <c r="E78" s="111"/>
      <c r="F78" s="70" t="str">
        <f t="shared" si="8"/>
        <v/>
      </c>
      <c r="G78" s="70" t="str">
        <f t="shared" si="9"/>
        <v/>
      </c>
      <c r="H78" s="111"/>
      <c r="I78" s="111"/>
      <c r="J78" s="111"/>
      <c r="K78" s="70" t="str">
        <f t="shared" si="11"/>
        <v/>
      </c>
      <c r="L78" s="36" t="str">
        <f t="shared" si="10"/>
        <v/>
      </c>
      <c r="M78" s="111"/>
      <c r="N78" s="111"/>
      <c r="O78" s="111"/>
      <c r="P78" s="111"/>
      <c r="Q78" s="111"/>
    </row>
    <row r="79" spans="1:17" x14ac:dyDescent="0.3">
      <c r="A79" s="166"/>
      <c r="B79" s="111"/>
      <c r="C79" s="111"/>
      <c r="D79" s="111"/>
      <c r="E79" s="111"/>
      <c r="F79" s="70" t="str">
        <f t="shared" si="8"/>
        <v/>
      </c>
      <c r="G79" s="70" t="str">
        <f t="shared" si="9"/>
        <v/>
      </c>
      <c r="H79" s="111"/>
      <c r="I79" s="111"/>
      <c r="J79" s="111"/>
      <c r="K79" s="70" t="str">
        <f t="shared" si="11"/>
        <v/>
      </c>
      <c r="L79" s="36" t="str">
        <f t="shared" si="10"/>
        <v/>
      </c>
      <c r="M79" s="111"/>
      <c r="N79" s="111"/>
      <c r="O79" s="111"/>
      <c r="P79" s="111"/>
      <c r="Q79" s="111"/>
    </row>
    <row r="80" spans="1:17" x14ac:dyDescent="0.3">
      <c r="A80" s="166"/>
      <c r="B80" s="111"/>
      <c r="C80" s="111"/>
      <c r="D80" s="111"/>
      <c r="E80" s="111"/>
      <c r="F80" s="70" t="str">
        <f t="shared" si="8"/>
        <v/>
      </c>
      <c r="G80" s="70" t="str">
        <f t="shared" si="9"/>
        <v/>
      </c>
      <c r="H80" s="111"/>
      <c r="I80" s="111"/>
      <c r="J80" s="111"/>
      <c r="K80" s="70" t="str">
        <f t="shared" si="11"/>
        <v/>
      </c>
      <c r="L80" s="36" t="str">
        <f t="shared" si="10"/>
        <v/>
      </c>
      <c r="M80" s="111"/>
      <c r="N80" s="111"/>
      <c r="O80" s="111"/>
      <c r="P80" s="111"/>
      <c r="Q80" s="111"/>
    </row>
    <row r="81" spans="1:17" x14ac:dyDescent="0.3">
      <c r="A81" s="166"/>
      <c r="B81" s="111"/>
      <c r="C81" s="111"/>
      <c r="D81" s="111"/>
      <c r="E81" s="111"/>
      <c r="F81" s="70" t="str">
        <f t="shared" si="8"/>
        <v/>
      </c>
      <c r="G81" s="70" t="str">
        <f t="shared" si="9"/>
        <v/>
      </c>
      <c r="H81" s="111"/>
      <c r="I81" s="111"/>
      <c r="J81" s="111"/>
      <c r="K81" s="70" t="str">
        <f t="shared" si="11"/>
        <v/>
      </c>
      <c r="L81" s="36" t="str">
        <f t="shared" si="10"/>
        <v/>
      </c>
      <c r="M81" s="111"/>
      <c r="N81" s="111"/>
      <c r="O81" s="111"/>
      <c r="P81" s="111"/>
      <c r="Q81" s="111"/>
    </row>
    <row r="82" spans="1:17" x14ac:dyDescent="0.3">
      <c r="A82" s="166"/>
      <c r="B82" s="111"/>
      <c r="C82" s="111"/>
      <c r="D82" s="111"/>
      <c r="E82" s="111"/>
      <c r="F82" s="70" t="str">
        <f t="shared" si="8"/>
        <v/>
      </c>
      <c r="G82" s="70" t="str">
        <f t="shared" si="9"/>
        <v/>
      </c>
      <c r="H82" s="111"/>
      <c r="I82" s="111"/>
      <c r="J82" s="111"/>
      <c r="K82" s="70" t="str">
        <f t="shared" si="11"/>
        <v/>
      </c>
      <c r="L82" s="36" t="str">
        <f t="shared" si="10"/>
        <v/>
      </c>
      <c r="M82" s="111"/>
      <c r="N82" s="111"/>
      <c r="O82" s="111"/>
      <c r="P82" s="111"/>
      <c r="Q82" s="111"/>
    </row>
    <row r="83" spans="1:17" x14ac:dyDescent="0.3">
      <c r="A83" s="166"/>
      <c r="B83" s="111"/>
      <c r="C83" s="111"/>
      <c r="D83" s="111"/>
      <c r="E83" s="111"/>
      <c r="F83" s="70" t="str">
        <f t="shared" si="8"/>
        <v/>
      </c>
      <c r="G83" s="70" t="str">
        <f t="shared" si="9"/>
        <v/>
      </c>
      <c r="H83" s="111"/>
      <c r="I83" s="111"/>
      <c r="J83" s="111"/>
      <c r="K83" s="70" t="str">
        <f t="shared" si="11"/>
        <v/>
      </c>
      <c r="L83" s="36" t="str">
        <f t="shared" si="10"/>
        <v/>
      </c>
      <c r="M83" s="111"/>
      <c r="N83" s="111"/>
      <c r="O83" s="111"/>
      <c r="P83" s="111"/>
      <c r="Q83" s="111"/>
    </row>
    <row r="84" spans="1:17" x14ac:dyDescent="0.3">
      <c r="A84" s="166"/>
      <c r="B84" s="111"/>
      <c r="C84" s="111"/>
      <c r="D84" s="111"/>
      <c r="E84" s="111"/>
      <c r="F84" s="70" t="str">
        <f t="shared" si="8"/>
        <v/>
      </c>
      <c r="G84" s="70" t="str">
        <f t="shared" si="9"/>
        <v/>
      </c>
      <c r="H84" s="111"/>
      <c r="I84" s="111"/>
      <c r="J84" s="111"/>
      <c r="K84" s="70" t="str">
        <f t="shared" si="11"/>
        <v/>
      </c>
      <c r="L84" s="36" t="str">
        <f t="shared" si="10"/>
        <v/>
      </c>
      <c r="M84" s="111"/>
      <c r="N84" s="111"/>
      <c r="O84" s="111"/>
      <c r="P84" s="111"/>
      <c r="Q84" s="111"/>
    </row>
    <row r="85" spans="1:17" x14ac:dyDescent="0.3">
      <c r="A85" s="166"/>
      <c r="B85" s="111"/>
      <c r="C85" s="111"/>
      <c r="D85" s="111"/>
      <c r="E85" s="111"/>
      <c r="F85" s="70" t="str">
        <f t="shared" si="8"/>
        <v/>
      </c>
      <c r="G85" s="70" t="str">
        <f t="shared" si="9"/>
        <v/>
      </c>
      <c r="H85" s="111"/>
      <c r="I85" s="111"/>
      <c r="J85" s="111"/>
      <c r="K85" s="70" t="str">
        <f t="shared" si="11"/>
        <v/>
      </c>
      <c r="L85" s="36" t="str">
        <f t="shared" si="10"/>
        <v/>
      </c>
      <c r="M85" s="111"/>
      <c r="N85" s="111"/>
      <c r="O85" s="111"/>
      <c r="P85" s="111"/>
      <c r="Q85" s="111"/>
    </row>
    <row r="86" spans="1:17" x14ac:dyDescent="0.3">
      <c r="A86" s="166"/>
      <c r="B86" s="111"/>
      <c r="C86" s="111"/>
      <c r="D86" s="111"/>
      <c r="E86" s="111"/>
      <c r="F86" s="70" t="str">
        <f t="shared" si="8"/>
        <v/>
      </c>
      <c r="G86" s="70" t="str">
        <f t="shared" si="9"/>
        <v/>
      </c>
      <c r="H86" s="111"/>
      <c r="I86" s="111"/>
      <c r="J86" s="111"/>
      <c r="K86" s="70" t="str">
        <f t="shared" si="11"/>
        <v/>
      </c>
      <c r="L86" s="36" t="str">
        <f t="shared" si="10"/>
        <v/>
      </c>
      <c r="M86" s="111"/>
      <c r="N86" s="111"/>
      <c r="O86" s="111"/>
      <c r="P86" s="111"/>
      <c r="Q86" s="111"/>
    </row>
    <row r="87" spans="1:17" x14ac:dyDescent="0.3">
      <c r="A87" s="166"/>
      <c r="B87" s="111"/>
      <c r="C87" s="111"/>
      <c r="D87" s="111"/>
      <c r="E87" s="111"/>
      <c r="F87" s="70" t="str">
        <f t="shared" si="8"/>
        <v/>
      </c>
      <c r="G87" s="70" t="str">
        <f t="shared" si="9"/>
        <v/>
      </c>
      <c r="H87" s="111"/>
      <c r="I87" s="111"/>
      <c r="J87" s="111"/>
      <c r="K87" s="70" t="str">
        <f t="shared" si="11"/>
        <v/>
      </c>
      <c r="L87" s="36" t="str">
        <f t="shared" si="10"/>
        <v/>
      </c>
      <c r="M87" s="111"/>
      <c r="N87" s="111"/>
      <c r="O87" s="111"/>
      <c r="P87" s="111"/>
      <c r="Q87" s="111"/>
    </row>
    <row r="88" spans="1:17" x14ac:dyDescent="0.3">
      <c r="A88" s="166"/>
      <c r="B88" s="111"/>
      <c r="C88" s="111"/>
      <c r="D88" s="111"/>
      <c r="E88" s="111"/>
      <c r="F88" s="70" t="str">
        <f t="shared" si="8"/>
        <v/>
      </c>
      <c r="G88" s="70" t="str">
        <f t="shared" si="9"/>
        <v/>
      </c>
      <c r="H88" s="111"/>
      <c r="I88" s="111"/>
      <c r="J88" s="111"/>
      <c r="K88" s="70" t="str">
        <f t="shared" si="11"/>
        <v/>
      </c>
      <c r="L88" s="36" t="str">
        <f t="shared" si="10"/>
        <v/>
      </c>
      <c r="M88" s="111"/>
      <c r="N88" s="111"/>
      <c r="O88" s="111"/>
      <c r="P88" s="111"/>
      <c r="Q88" s="111"/>
    </row>
    <row r="89" spans="1:17" x14ac:dyDescent="0.3">
      <c r="A89" s="166"/>
      <c r="B89" s="111"/>
      <c r="C89" s="111"/>
      <c r="D89" s="111"/>
      <c r="E89" s="111"/>
      <c r="F89" s="70" t="str">
        <f t="shared" si="8"/>
        <v/>
      </c>
      <c r="G89" s="70" t="str">
        <f t="shared" si="9"/>
        <v/>
      </c>
      <c r="H89" s="111"/>
      <c r="I89" s="111"/>
      <c r="J89" s="111"/>
      <c r="K89" s="70" t="str">
        <f t="shared" si="11"/>
        <v/>
      </c>
      <c r="L89" s="36" t="str">
        <f t="shared" si="10"/>
        <v/>
      </c>
      <c r="M89" s="111"/>
      <c r="N89" s="111"/>
      <c r="O89" s="111"/>
      <c r="P89" s="111"/>
      <c r="Q89" s="111"/>
    </row>
    <row r="90" spans="1:17" x14ac:dyDescent="0.3">
      <c r="A90" s="166"/>
      <c r="B90" s="111"/>
      <c r="C90" s="111"/>
      <c r="D90" s="111"/>
      <c r="E90" s="111"/>
      <c r="F90" s="70" t="str">
        <f t="shared" si="8"/>
        <v/>
      </c>
      <c r="G90" s="70" t="str">
        <f t="shared" si="9"/>
        <v/>
      </c>
      <c r="H90" s="111"/>
      <c r="I90" s="111"/>
      <c r="J90" s="111"/>
      <c r="K90" s="70" t="str">
        <f t="shared" si="11"/>
        <v/>
      </c>
      <c r="L90" s="36" t="str">
        <f t="shared" si="10"/>
        <v/>
      </c>
      <c r="M90" s="111"/>
      <c r="N90" s="111"/>
      <c r="O90" s="111"/>
      <c r="P90" s="111"/>
      <c r="Q90" s="111"/>
    </row>
    <row r="91" spans="1:17" x14ac:dyDescent="0.3">
      <c r="A91" s="166"/>
      <c r="B91" s="111"/>
      <c r="C91" s="111"/>
      <c r="D91" s="111"/>
      <c r="E91" s="111"/>
      <c r="F91" s="70" t="str">
        <f t="shared" si="8"/>
        <v/>
      </c>
      <c r="G91" s="70" t="str">
        <f t="shared" si="9"/>
        <v/>
      </c>
      <c r="H91" s="111"/>
      <c r="I91" s="111"/>
      <c r="J91" s="111"/>
      <c r="K91" s="70" t="str">
        <f t="shared" si="11"/>
        <v/>
      </c>
      <c r="L91" s="36" t="str">
        <f t="shared" si="10"/>
        <v/>
      </c>
      <c r="M91" s="111"/>
      <c r="N91" s="111"/>
      <c r="O91" s="111"/>
      <c r="P91" s="111"/>
      <c r="Q91" s="111"/>
    </row>
    <row r="92" spans="1:17" x14ac:dyDescent="0.3">
      <c r="A92" s="166"/>
      <c r="B92" s="111"/>
      <c r="C92" s="111"/>
      <c r="D92" s="111"/>
      <c r="E92" s="111"/>
      <c r="F92" s="70" t="str">
        <f t="shared" si="8"/>
        <v/>
      </c>
      <c r="G92" s="70" t="str">
        <f t="shared" si="9"/>
        <v/>
      </c>
      <c r="H92" s="111"/>
      <c r="I92" s="111"/>
      <c r="J92" s="111"/>
      <c r="K92" s="70" t="str">
        <f t="shared" si="11"/>
        <v/>
      </c>
      <c r="L92" s="36" t="str">
        <f t="shared" si="10"/>
        <v/>
      </c>
      <c r="M92" s="111"/>
      <c r="N92" s="111"/>
      <c r="O92" s="111"/>
      <c r="P92" s="111"/>
      <c r="Q92" s="111"/>
    </row>
    <row r="93" spans="1:17" x14ac:dyDescent="0.3">
      <c r="A93" s="166"/>
      <c r="B93" s="111"/>
      <c r="C93" s="111"/>
      <c r="D93" s="111"/>
      <c r="E93" s="111"/>
      <c r="F93" s="70" t="str">
        <f t="shared" si="8"/>
        <v/>
      </c>
      <c r="G93" s="70" t="str">
        <f t="shared" si="9"/>
        <v/>
      </c>
      <c r="H93" s="111"/>
      <c r="I93" s="111"/>
      <c r="J93" s="111"/>
      <c r="K93" s="70" t="str">
        <f t="shared" si="11"/>
        <v/>
      </c>
      <c r="L93" s="36" t="str">
        <f t="shared" si="10"/>
        <v/>
      </c>
      <c r="M93" s="111"/>
      <c r="N93" s="111"/>
      <c r="O93" s="111"/>
      <c r="P93" s="111"/>
      <c r="Q93" s="111"/>
    </row>
    <row r="94" spans="1:17" x14ac:dyDescent="0.3">
      <c r="A94" s="166"/>
      <c r="B94" s="111"/>
      <c r="C94" s="111"/>
      <c r="D94" s="111"/>
      <c r="E94" s="111"/>
      <c r="F94" s="70" t="str">
        <f t="shared" si="8"/>
        <v/>
      </c>
      <c r="G94" s="70" t="str">
        <f t="shared" si="9"/>
        <v/>
      </c>
      <c r="H94" s="111"/>
      <c r="I94" s="111"/>
      <c r="J94" s="111"/>
      <c r="K94" s="70" t="str">
        <f t="shared" si="11"/>
        <v/>
      </c>
      <c r="L94" s="36" t="str">
        <f t="shared" si="10"/>
        <v/>
      </c>
      <c r="M94" s="111"/>
      <c r="N94" s="111"/>
      <c r="O94" s="111"/>
      <c r="P94" s="111"/>
      <c r="Q94" s="111"/>
    </row>
    <row r="95" spans="1:17" x14ac:dyDescent="0.3">
      <c r="A95" s="166"/>
      <c r="B95" s="111"/>
      <c r="C95" s="111"/>
      <c r="D95" s="111"/>
      <c r="E95" s="111"/>
      <c r="F95" s="70" t="str">
        <f t="shared" si="8"/>
        <v/>
      </c>
      <c r="G95" s="70" t="str">
        <f t="shared" si="9"/>
        <v/>
      </c>
      <c r="H95" s="111"/>
      <c r="I95" s="111"/>
      <c r="J95" s="111"/>
      <c r="K95" s="70" t="str">
        <f t="shared" si="11"/>
        <v/>
      </c>
      <c r="L95" s="36" t="str">
        <f t="shared" si="10"/>
        <v/>
      </c>
      <c r="M95" s="111"/>
      <c r="N95" s="111"/>
      <c r="O95" s="111"/>
      <c r="P95" s="111"/>
      <c r="Q95" s="111"/>
    </row>
    <row r="96" spans="1:17" x14ac:dyDescent="0.3">
      <c r="A96" s="166"/>
      <c r="B96" s="111"/>
      <c r="C96" s="111"/>
      <c r="D96" s="111"/>
      <c r="E96" s="111"/>
      <c r="F96" s="70" t="str">
        <f t="shared" si="8"/>
        <v/>
      </c>
      <c r="G96" s="70" t="str">
        <f t="shared" si="9"/>
        <v/>
      </c>
      <c r="H96" s="111"/>
      <c r="I96" s="111"/>
      <c r="J96" s="111"/>
      <c r="K96" s="70" t="str">
        <f t="shared" si="11"/>
        <v/>
      </c>
      <c r="L96" s="36" t="str">
        <f t="shared" si="10"/>
        <v/>
      </c>
      <c r="M96" s="111"/>
      <c r="N96" s="111"/>
      <c r="O96" s="111"/>
      <c r="P96" s="111"/>
      <c r="Q96" s="111"/>
    </row>
    <row r="97" spans="1:17" x14ac:dyDescent="0.3">
      <c r="A97" s="166"/>
      <c r="B97" s="111"/>
      <c r="C97" s="111"/>
      <c r="D97" s="111"/>
      <c r="E97" s="111"/>
      <c r="F97" s="70" t="str">
        <f t="shared" si="8"/>
        <v/>
      </c>
      <c r="G97" s="70" t="str">
        <f t="shared" si="9"/>
        <v/>
      </c>
      <c r="H97" s="111"/>
      <c r="I97" s="111"/>
      <c r="J97" s="111"/>
      <c r="K97" s="70" t="str">
        <f t="shared" si="11"/>
        <v/>
      </c>
      <c r="L97" s="36" t="str">
        <f t="shared" si="10"/>
        <v/>
      </c>
      <c r="M97" s="111"/>
      <c r="N97" s="111"/>
      <c r="O97" s="111"/>
      <c r="P97" s="111"/>
      <c r="Q97" s="111"/>
    </row>
    <row r="98" spans="1:17" x14ac:dyDescent="0.3">
      <c r="A98" s="166"/>
      <c r="B98" s="111"/>
      <c r="C98" s="111"/>
      <c r="D98" s="111"/>
      <c r="E98" s="111"/>
      <c r="F98" s="70" t="str">
        <f t="shared" si="8"/>
        <v/>
      </c>
      <c r="G98" s="70" t="str">
        <f t="shared" si="9"/>
        <v/>
      </c>
      <c r="H98" s="111"/>
      <c r="I98" s="111"/>
      <c r="J98" s="111"/>
      <c r="K98" s="70" t="str">
        <f t="shared" si="11"/>
        <v/>
      </c>
      <c r="L98" s="36" t="str">
        <f t="shared" si="10"/>
        <v/>
      </c>
      <c r="M98" s="111"/>
      <c r="N98" s="111"/>
      <c r="O98" s="111"/>
      <c r="P98" s="111"/>
      <c r="Q98" s="111"/>
    </row>
    <row r="99" spans="1:17" x14ac:dyDescent="0.3">
      <c r="A99" s="166"/>
      <c r="B99" s="111"/>
      <c r="C99" s="111"/>
      <c r="D99" s="111"/>
      <c r="E99" s="111"/>
      <c r="F99" s="70" t="str">
        <f t="shared" si="8"/>
        <v/>
      </c>
      <c r="G99" s="70" t="str">
        <f t="shared" si="9"/>
        <v/>
      </c>
      <c r="H99" s="111"/>
      <c r="I99" s="111"/>
      <c r="J99" s="111"/>
      <c r="K99" s="70" t="str">
        <f t="shared" si="11"/>
        <v/>
      </c>
      <c r="L99" s="36" t="str">
        <f t="shared" si="10"/>
        <v/>
      </c>
      <c r="M99" s="111"/>
      <c r="N99" s="111"/>
      <c r="O99" s="111"/>
      <c r="P99" s="111"/>
      <c r="Q99" s="111"/>
    </row>
    <row r="100" spans="1:17" x14ac:dyDescent="0.3">
      <c r="A100" s="166"/>
      <c r="B100" s="111"/>
      <c r="C100" s="111"/>
      <c r="D100" s="111"/>
      <c r="E100" s="111"/>
      <c r="F100" s="70" t="str">
        <f t="shared" si="8"/>
        <v/>
      </c>
      <c r="G100" s="70" t="str">
        <f t="shared" si="9"/>
        <v/>
      </c>
      <c r="H100" s="111"/>
      <c r="I100" s="111"/>
      <c r="J100" s="111"/>
      <c r="K100" s="70" t="str">
        <f t="shared" si="11"/>
        <v/>
      </c>
      <c r="L100" s="36" t="str">
        <f t="shared" si="10"/>
        <v/>
      </c>
      <c r="M100" s="111"/>
      <c r="N100" s="111"/>
      <c r="O100" s="111"/>
      <c r="P100" s="111"/>
      <c r="Q100" s="111"/>
    </row>
    <row r="101" spans="1:17" x14ac:dyDescent="0.3">
      <c r="A101" s="166"/>
      <c r="B101" s="111"/>
      <c r="C101" s="111"/>
      <c r="D101" s="111"/>
      <c r="E101" s="111"/>
      <c r="F101" s="70" t="str">
        <f t="shared" si="8"/>
        <v/>
      </c>
      <c r="G101" s="70" t="str">
        <f t="shared" si="9"/>
        <v/>
      </c>
      <c r="H101" s="111"/>
      <c r="I101" s="111"/>
      <c r="J101" s="111"/>
      <c r="K101" s="70" t="str">
        <f t="shared" si="11"/>
        <v/>
      </c>
      <c r="L101" s="36" t="str">
        <f t="shared" si="10"/>
        <v/>
      </c>
      <c r="M101" s="111"/>
      <c r="N101" s="111"/>
      <c r="O101" s="111"/>
      <c r="P101" s="111"/>
      <c r="Q101" s="111"/>
    </row>
    <row r="102" spans="1:17" x14ac:dyDescent="0.3">
      <c r="A102" s="166"/>
      <c r="B102" s="111"/>
      <c r="C102" s="111"/>
      <c r="D102" s="111"/>
      <c r="E102" s="111"/>
      <c r="F102" s="70" t="str">
        <f t="shared" ref="F102:F133" si="12">IFERROR(INDEX($U$3:$U$23,MATCH(E102,$T$3:$T$23,0)),"")</f>
        <v/>
      </c>
      <c r="G102" s="70" t="str">
        <f t="shared" ref="G102:G133" si="13">IFERROR(INDEX($V$3:$V$23,MATCH(E102,$T$3:$T$23,0)),"")</f>
        <v/>
      </c>
      <c r="H102" s="111"/>
      <c r="I102" s="111"/>
      <c r="J102" s="111"/>
      <c r="K102" s="70" t="str">
        <f t="shared" si="11"/>
        <v/>
      </c>
      <c r="L102" s="36" t="str">
        <f t="shared" ref="L102:L133" si="14">IFERROR(I102/H102,"")</f>
        <v/>
      </c>
      <c r="M102" s="111"/>
      <c r="N102" s="111"/>
      <c r="O102" s="111"/>
      <c r="P102" s="111"/>
      <c r="Q102" s="111"/>
    </row>
    <row r="103" spans="1:17" x14ac:dyDescent="0.3">
      <c r="A103" s="166"/>
      <c r="B103" s="111"/>
      <c r="C103" s="111"/>
      <c r="D103" s="111"/>
      <c r="E103" s="111"/>
      <c r="F103" s="70" t="str">
        <f t="shared" si="12"/>
        <v/>
      </c>
      <c r="G103" s="70" t="str">
        <f t="shared" si="13"/>
        <v/>
      </c>
      <c r="H103" s="111"/>
      <c r="I103" s="111"/>
      <c r="J103" s="111"/>
      <c r="K103" s="70" t="str">
        <f t="shared" ref="K103:K134" si="15">IF(COUNT(I103:J103)=0,"",I103+J103)</f>
        <v/>
      </c>
      <c r="L103" s="36" t="str">
        <f t="shared" si="14"/>
        <v/>
      </c>
      <c r="M103" s="111"/>
      <c r="N103" s="111"/>
      <c r="O103" s="111"/>
      <c r="P103" s="111"/>
      <c r="Q103" s="111"/>
    </row>
    <row r="104" spans="1:17" x14ac:dyDescent="0.3">
      <c r="A104" s="166"/>
      <c r="B104" s="111"/>
      <c r="C104" s="111"/>
      <c r="D104" s="111"/>
      <c r="E104" s="111"/>
      <c r="F104" s="70" t="str">
        <f t="shared" si="12"/>
        <v/>
      </c>
      <c r="G104" s="70" t="str">
        <f t="shared" si="13"/>
        <v/>
      </c>
      <c r="H104" s="111"/>
      <c r="I104" s="111"/>
      <c r="J104" s="111"/>
      <c r="K104" s="70" t="str">
        <f t="shared" si="15"/>
        <v/>
      </c>
      <c r="L104" s="36" t="str">
        <f t="shared" si="14"/>
        <v/>
      </c>
      <c r="M104" s="111"/>
      <c r="N104" s="111"/>
      <c r="O104" s="111"/>
      <c r="P104" s="111"/>
      <c r="Q104" s="111"/>
    </row>
    <row r="105" spans="1:17" x14ac:dyDescent="0.3">
      <c r="A105" s="166"/>
      <c r="B105" s="111"/>
      <c r="C105" s="111"/>
      <c r="D105" s="111"/>
      <c r="E105" s="111"/>
      <c r="F105" s="70" t="str">
        <f t="shared" si="12"/>
        <v/>
      </c>
      <c r="G105" s="70" t="str">
        <f t="shared" si="13"/>
        <v/>
      </c>
      <c r="H105" s="111"/>
      <c r="I105" s="111"/>
      <c r="J105" s="111"/>
      <c r="K105" s="70" t="str">
        <f t="shared" si="15"/>
        <v/>
      </c>
      <c r="L105" s="36" t="str">
        <f t="shared" si="14"/>
        <v/>
      </c>
      <c r="M105" s="111"/>
      <c r="N105" s="111"/>
      <c r="O105" s="111"/>
      <c r="P105" s="111"/>
      <c r="Q105" s="111"/>
    </row>
    <row r="106" spans="1:17" x14ac:dyDescent="0.3">
      <c r="A106" s="166"/>
      <c r="B106" s="111"/>
      <c r="C106" s="111"/>
      <c r="D106" s="111"/>
      <c r="E106" s="111"/>
      <c r="F106" s="70" t="str">
        <f t="shared" si="12"/>
        <v/>
      </c>
      <c r="G106" s="70" t="str">
        <f t="shared" si="13"/>
        <v/>
      </c>
      <c r="H106" s="111"/>
      <c r="I106" s="111"/>
      <c r="J106" s="111"/>
      <c r="K106" s="70" t="str">
        <f t="shared" si="15"/>
        <v/>
      </c>
      <c r="L106" s="36" t="str">
        <f t="shared" si="14"/>
        <v/>
      </c>
      <c r="M106" s="111"/>
      <c r="N106" s="111"/>
      <c r="O106" s="111"/>
      <c r="P106" s="111"/>
      <c r="Q106" s="111"/>
    </row>
    <row r="107" spans="1:17" x14ac:dyDescent="0.3">
      <c r="A107" s="166"/>
      <c r="B107" s="111"/>
      <c r="C107" s="111"/>
      <c r="D107" s="111"/>
      <c r="E107" s="111"/>
      <c r="F107" s="70" t="str">
        <f t="shared" si="12"/>
        <v/>
      </c>
      <c r="G107" s="70" t="str">
        <f t="shared" si="13"/>
        <v/>
      </c>
      <c r="H107" s="111"/>
      <c r="I107" s="111"/>
      <c r="J107" s="111"/>
      <c r="K107" s="70" t="str">
        <f t="shared" si="15"/>
        <v/>
      </c>
      <c r="L107" s="36" t="str">
        <f t="shared" si="14"/>
        <v/>
      </c>
      <c r="M107" s="111"/>
      <c r="N107" s="111"/>
      <c r="O107" s="111"/>
      <c r="P107" s="111"/>
      <c r="Q107" s="111"/>
    </row>
    <row r="108" spans="1:17" x14ac:dyDescent="0.3">
      <c r="A108" s="166"/>
      <c r="B108" s="111"/>
      <c r="C108" s="111"/>
      <c r="D108" s="111"/>
      <c r="E108" s="111"/>
      <c r="F108" s="70" t="str">
        <f t="shared" si="12"/>
        <v/>
      </c>
      <c r="G108" s="70" t="str">
        <f t="shared" si="13"/>
        <v/>
      </c>
      <c r="H108" s="111"/>
      <c r="I108" s="111"/>
      <c r="J108" s="111"/>
      <c r="K108" s="70" t="str">
        <f t="shared" si="15"/>
        <v/>
      </c>
      <c r="L108" s="36" t="str">
        <f t="shared" si="14"/>
        <v/>
      </c>
      <c r="M108" s="111"/>
      <c r="N108" s="111"/>
      <c r="O108" s="111"/>
      <c r="P108" s="111"/>
      <c r="Q108" s="111"/>
    </row>
    <row r="109" spans="1:17" x14ac:dyDescent="0.3">
      <c r="A109" s="166"/>
      <c r="B109" s="111"/>
      <c r="C109" s="111"/>
      <c r="D109" s="111"/>
      <c r="E109" s="111"/>
      <c r="F109" s="70" t="str">
        <f t="shared" si="12"/>
        <v/>
      </c>
      <c r="G109" s="70" t="str">
        <f t="shared" si="13"/>
        <v/>
      </c>
      <c r="H109" s="111"/>
      <c r="I109" s="111"/>
      <c r="J109" s="111"/>
      <c r="K109" s="70" t="str">
        <f t="shared" si="15"/>
        <v/>
      </c>
      <c r="L109" s="36" t="str">
        <f t="shared" si="14"/>
        <v/>
      </c>
      <c r="M109" s="111"/>
      <c r="N109" s="111"/>
      <c r="O109" s="111"/>
      <c r="P109" s="111"/>
      <c r="Q109" s="111"/>
    </row>
    <row r="110" spans="1:17" x14ac:dyDescent="0.3">
      <c r="A110" s="166"/>
      <c r="B110" s="111"/>
      <c r="C110" s="111"/>
      <c r="D110" s="111"/>
      <c r="E110" s="111"/>
      <c r="F110" s="70" t="str">
        <f t="shared" si="12"/>
        <v/>
      </c>
      <c r="G110" s="70" t="str">
        <f t="shared" si="13"/>
        <v/>
      </c>
      <c r="H110" s="111"/>
      <c r="I110" s="111"/>
      <c r="J110" s="111"/>
      <c r="K110" s="70" t="str">
        <f t="shared" si="15"/>
        <v/>
      </c>
      <c r="L110" s="36" t="str">
        <f t="shared" si="14"/>
        <v/>
      </c>
      <c r="M110" s="111"/>
      <c r="N110" s="111"/>
      <c r="O110" s="111"/>
      <c r="P110" s="111"/>
      <c r="Q110" s="111"/>
    </row>
    <row r="111" spans="1:17" x14ac:dyDescent="0.3">
      <c r="A111" s="166"/>
      <c r="B111" s="111"/>
      <c r="C111" s="111"/>
      <c r="D111" s="111"/>
      <c r="E111" s="111"/>
      <c r="F111" s="70" t="str">
        <f t="shared" si="12"/>
        <v/>
      </c>
      <c r="G111" s="70" t="str">
        <f t="shared" si="13"/>
        <v/>
      </c>
      <c r="H111" s="111"/>
      <c r="I111" s="111"/>
      <c r="J111" s="111"/>
      <c r="K111" s="70" t="str">
        <f t="shared" si="15"/>
        <v/>
      </c>
      <c r="L111" s="36" t="str">
        <f t="shared" si="14"/>
        <v/>
      </c>
      <c r="M111" s="111"/>
      <c r="N111" s="111"/>
      <c r="O111" s="111"/>
      <c r="P111" s="111"/>
      <c r="Q111" s="111"/>
    </row>
    <row r="112" spans="1:17" x14ac:dyDescent="0.3">
      <c r="A112" s="166"/>
      <c r="B112" s="111"/>
      <c r="C112" s="111"/>
      <c r="D112" s="111"/>
      <c r="E112" s="111"/>
      <c r="F112" s="70" t="str">
        <f t="shared" si="12"/>
        <v/>
      </c>
      <c r="G112" s="70" t="str">
        <f t="shared" si="13"/>
        <v/>
      </c>
      <c r="H112" s="111"/>
      <c r="I112" s="111"/>
      <c r="J112" s="111"/>
      <c r="K112" s="70" t="str">
        <f t="shared" si="15"/>
        <v/>
      </c>
      <c r="L112" s="36" t="str">
        <f t="shared" si="14"/>
        <v/>
      </c>
      <c r="M112" s="111"/>
      <c r="N112" s="111"/>
      <c r="O112" s="111"/>
      <c r="P112" s="111"/>
      <c r="Q112" s="111"/>
    </row>
    <row r="113" spans="1:17" x14ac:dyDescent="0.3">
      <c r="A113" s="166"/>
      <c r="B113" s="111"/>
      <c r="C113" s="111"/>
      <c r="D113" s="111"/>
      <c r="E113" s="111"/>
      <c r="F113" s="70" t="str">
        <f t="shared" si="12"/>
        <v/>
      </c>
      <c r="G113" s="70" t="str">
        <f t="shared" si="13"/>
        <v/>
      </c>
      <c r="H113" s="111"/>
      <c r="I113" s="111"/>
      <c r="J113" s="111"/>
      <c r="K113" s="70" t="str">
        <f t="shared" si="15"/>
        <v/>
      </c>
      <c r="L113" s="36" t="str">
        <f t="shared" si="14"/>
        <v/>
      </c>
      <c r="M113" s="111"/>
      <c r="N113" s="111"/>
      <c r="O113" s="111"/>
      <c r="P113" s="111"/>
      <c r="Q113" s="111"/>
    </row>
    <row r="114" spans="1:17" x14ac:dyDescent="0.3">
      <c r="A114" s="166"/>
      <c r="B114" s="111"/>
      <c r="C114" s="111"/>
      <c r="D114" s="111"/>
      <c r="E114" s="111"/>
      <c r="F114" s="70" t="str">
        <f t="shared" si="12"/>
        <v/>
      </c>
      <c r="G114" s="70" t="str">
        <f t="shared" si="13"/>
        <v/>
      </c>
      <c r="H114" s="111"/>
      <c r="I114" s="111"/>
      <c r="J114" s="111"/>
      <c r="K114" s="70" t="str">
        <f t="shared" si="15"/>
        <v/>
      </c>
      <c r="L114" s="36" t="str">
        <f t="shared" si="14"/>
        <v/>
      </c>
      <c r="M114" s="111"/>
      <c r="N114" s="111"/>
      <c r="O114" s="111"/>
      <c r="P114" s="111"/>
      <c r="Q114" s="111"/>
    </row>
    <row r="115" spans="1:17" x14ac:dyDescent="0.3">
      <c r="A115" s="166"/>
      <c r="B115" s="111"/>
      <c r="C115" s="111"/>
      <c r="D115" s="111"/>
      <c r="E115" s="111"/>
      <c r="F115" s="70" t="str">
        <f t="shared" si="12"/>
        <v/>
      </c>
      <c r="G115" s="70" t="str">
        <f t="shared" si="13"/>
        <v/>
      </c>
      <c r="H115" s="111"/>
      <c r="I115" s="111"/>
      <c r="J115" s="111"/>
      <c r="K115" s="70" t="str">
        <f t="shared" si="15"/>
        <v/>
      </c>
      <c r="L115" s="36" t="str">
        <f t="shared" si="14"/>
        <v/>
      </c>
      <c r="M115" s="111"/>
      <c r="N115" s="111"/>
      <c r="O115" s="111"/>
      <c r="P115" s="111"/>
      <c r="Q115" s="111"/>
    </row>
    <row r="116" spans="1:17" x14ac:dyDescent="0.3">
      <c r="A116" s="166"/>
      <c r="B116" s="111"/>
      <c r="C116" s="111"/>
      <c r="D116" s="111"/>
      <c r="E116" s="111"/>
      <c r="F116" s="70" t="str">
        <f t="shared" si="12"/>
        <v/>
      </c>
      <c r="G116" s="70" t="str">
        <f t="shared" si="13"/>
        <v/>
      </c>
      <c r="H116" s="111"/>
      <c r="I116" s="111"/>
      <c r="J116" s="111"/>
      <c r="K116" s="70" t="str">
        <f t="shared" si="15"/>
        <v/>
      </c>
      <c r="L116" s="36" t="str">
        <f t="shared" si="14"/>
        <v/>
      </c>
      <c r="M116" s="111"/>
      <c r="N116" s="111"/>
      <c r="O116" s="111"/>
      <c r="P116" s="111"/>
      <c r="Q116" s="111"/>
    </row>
    <row r="117" spans="1:17" x14ac:dyDescent="0.3">
      <c r="A117" s="166"/>
      <c r="B117" s="111"/>
      <c r="C117" s="111"/>
      <c r="D117" s="111"/>
      <c r="E117" s="111"/>
      <c r="F117" s="70" t="str">
        <f t="shared" si="12"/>
        <v/>
      </c>
      <c r="G117" s="70" t="str">
        <f t="shared" si="13"/>
        <v/>
      </c>
      <c r="H117" s="111"/>
      <c r="I117" s="111"/>
      <c r="J117" s="111"/>
      <c r="K117" s="70" t="str">
        <f t="shared" si="15"/>
        <v/>
      </c>
      <c r="L117" s="36" t="str">
        <f t="shared" si="14"/>
        <v/>
      </c>
      <c r="M117" s="111"/>
      <c r="N117" s="111"/>
      <c r="O117" s="111"/>
      <c r="P117" s="111"/>
      <c r="Q117" s="111"/>
    </row>
    <row r="118" spans="1:17" x14ac:dyDescent="0.3">
      <c r="A118" s="166"/>
      <c r="B118" s="111"/>
      <c r="C118" s="111"/>
      <c r="D118" s="111"/>
      <c r="E118" s="111"/>
      <c r="F118" s="70" t="str">
        <f t="shared" si="12"/>
        <v/>
      </c>
      <c r="G118" s="70" t="str">
        <f t="shared" si="13"/>
        <v/>
      </c>
      <c r="H118" s="111"/>
      <c r="I118" s="111"/>
      <c r="J118" s="111"/>
      <c r="K118" s="70" t="str">
        <f t="shared" si="15"/>
        <v/>
      </c>
      <c r="L118" s="36" t="str">
        <f t="shared" si="14"/>
        <v/>
      </c>
      <c r="M118" s="111"/>
      <c r="N118" s="111"/>
      <c r="O118" s="111"/>
      <c r="P118" s="111"/>
      <c r="Q118" s="111"/>
    </row>
    <row r="119" spans="1:17" x14ac:dyDescent="0.3">
      <c r="A119" s="166"/>
      <c r="B119" s="111"/>
      <c r="C119" s="111"/>
      <c r="D119" s="111"/>
      <c r="E119" s="111"/>
      <c r="F119" s="70" t="str">
        <f t="shared" si="12"/>
        <v/>
      </c>
      <c r="G119" s="70" t="str">
        <f t="shared" si="13"/>
        <v/>
      </c>
      <c r="H119" s="111"/>
      <c r="I119" s="111"/>
      <c r="J119" s="111"/>
      <c r="K119" s="70" t="str">
        <f t="shared" si="15"/>
        <v/>
      </c>
      <c r="L119" s="36" t="str">
        <f t="shared" si="14"/>
        <v/>
      </c>
      <c r="M119" s="111"/>
      <c r="N119" s="111"/>
      <c r="O119" s="111"/>
      <c r="P119" s="111"/>
      <c r="Q119" s="111"/>
    </row>
    <row r="120" spans="1:17" x14ac:dyDescent="0.3">
      <c r="A120" s="166"/>
      <c r="B120" s="111"/>
      <c r="C120" s="111"/>
      <c r="D120" s="111"/>
      <c r="E120" s="111"/>
      <c r="F120" s="70" t="str">
        <f t="shared" si="12"/>
        <v/>
      </c>
      <c r="G120" s="70" t="str">
        <f t="shared" si="13"/>
        <v/>
      </c>
      <c r="H120" s="111"/>
      <c r="I120" s="111"/>
      <c r="J120" s="111"/>
      <c r="K120" s="70" t="str">
        <f t="shared" si="15"/>
        <v/>
      </c>
      <c r="L120" s="36" t="str">
        <f t="shared" si="14"/>
        <v/>
      </c>
      <c r="M120" s="111"/>
      <c r="N120" s="111"/>
      <c r="O120" s="111"/>
      <c r="P120" s="111"/>
      <c r="Q120" s="111"/>
    </row>
    <row r="121" spans="1:17" x14ac:dyDescent="0.3">
      <c r="A121" s="166"/>
      <c r="B121" s="111"/>
      <c r="C121" s="111"/>
      <c r="D121" s="111"/>
      <c r="E121" s="111"/>
      <c r="F121" s="70" t="str">
        <f t="shared" si="12"/>
        <v/>
      </c>
      <c r="G121" s="70" t="str">
        <f t="shared" si="13"/>
        <v/>
      </c>
      <c r="H121" s="111"/>
      <c r="I121" s="111"/>
      <c r="J121" s="111"/>
      <c r="K121" s="70" t="str">
        <f t="shared" si="15"/>
        <v/>
      </c>
      <c r="L121" s="36" t="str">
        <f t="shared" si="14"/>
        <v/>
      </c>
      <c r="M121" s="111"/>
      <c r="N121" s="111"/>
      <c r="O121" s="111"/>
      <c r="P121" s="111"/>
      <c r="Q121" s="111"/>
    </row>
    <row r="122" spans="1:17" x14ac:dyDescent="0.3">
      <c r="A122" s="166"/>
      <c r="B122" s="111"/>
      <c r="C122" s="111"/>
      <c r="D122" s="111"/>
      <c r="E122" s="111"/>
      <c r="F122" s="70" t="str">
        <f t="shared" si="12"/>
        <v/>
      </c>
      <c r="G122" s="70" t="str">
        <f t="shared" si="13"/>
        <v/>
      </c>
      <c r="H122" s="111"/>
      <c r="I122" s="111"/>
      <c r="J122" s="111"/>
      <c r="K122" s="70" t="str">
        <f t="shared" si="15"/>
        <v/>
      </c>
      <c r="L122" s="36" t="str">
        <f t="shared" si="14"/>
        <v/>
      </c>
      <c r="M122" s="111"/>
      <c r="N122" s="111"/>
      <c r="O122" s="111"/>
      <c r="P122" s="111"/>
      <c r="Q122" s="111"/>
    </row>
    <row r="123" spans="1:17" x14ac:dyDescent="0.3">
      <c r="A123" s="166"/>
      <c r="B123" s="111"/>
      <c r="C123" s="111"/>
      <c r="D123" s="111"/>
      <c r="E123" s="111"/>
      <c r="F123" s="70" t="str">
        <f t="shared" si="12"/>
        <v/>
      </c>
      <c r="G123" s="70" t="str">
        <f t="shared" si="13"/>
        <v/>
      </c>
      <c r="H123" s="111"/>
      <c r="I123" s="111"/>
      <c r="J123" s="111"/>
      <c r="K123" s="70" t="str">
        <f t="shared" si="15"/>
        <v/>
      </c>
      <c r="L123" s="36" t="str">
        <f t="shared" si="14"/>
        <v/>
      </c>
      <c r="M123" s="111"/>
      <c r="N123" s="111"/>
      <c r="O123" s="111"/>
      <c r="P123" s="111"/>
      <c r="Q123" s="111"/>
    </row>
    <row r="124" spans="1:17" x14ac:dyDescent="0.3">
      <c r="A124" s="166"/>
      <c r="B124" s="111"/>
      <c r="C124" s="111"/>
      <c r="D124" s="111"/>
      <c r="E124" s="111"/>
      <c r="F124" s="70" t="str">
        <f t="shared" si="12"/>
        <v/>
      </c>
      <c r="G124" s="70" t="str">
        <f t="shared" si="13"/>
        <v/>
      </c>
      <c r="H124" s="111"/>
      <c r="I124" s="111"/>
      <c r="J124" s="111"/>
      <c r="K124" s="70" t="str">
        <f t="shared" si="15"/>
        <v/>
      </c>
      <c r="L124" s="36" t="str">
        <f t="shared" si="14"/>
        <v/>
      </c>
      <c r="M124" s="111"/>
      <c r="N124" s="111"/>
      <c r="O124" s="111"/>
      <c r="P124" s="111"/>
      <c r="Q124" s="111"/>
    </row>
    <row r="125" spans="1:17" x14ac:dyDescent="0.3">
      <c r="A125" s="166"/>
      <c r="B125" s="111"/>
      <c r="C125" s="111"/>
      <c r="D125" s="111"/>
      <c r="E125" s="111"/>
      <c r="F125" s="70" t="str">
        <f t="shared" si="12"/>
        <v/>
      </c>
      <c r="G125" s="70" t="str">
        <f t="shared" si="13"/>
        <v/>
      </c>
      <c r="H125" s="111"/>
      <c r="I125" s="111"/>
      <c r="J125" s="111"/>
      <c r="K125" s="70" t="str">
        <f t="shared" si="15"/>
        <v/>
      </c>
      <c r="L125" s="36" t="str">
        <f t="shared" si="14"/>
        <v/>
      </c>
      <c r="M125" s="111"/>
      <c r="N125" s="111"/>
      <c r="O125" s="111"/>
      <c r="P125" s="111"/>
      <c r="Q125" s="111"/>
    </row>
    <row r="126" spans="1:17" x14ac:dyDescent="0.3">
      <c r="A126" s="166"/>
      <c r="B126" s="111"/>
      <c r="C126" s="111"/>
      <c r="D126" s="111"/>
      <c r="E126" s="111"/>
      <c r="F126" s="70" t="str">
        <f t="shared" si="12"/>
        <v/>
      </c>
      <c r="G126" s="70" t="str">
        <f t="shared" si="13"/>
        <v/>
      </c>
      <c r="H126" s="111"/>
      <c r="I126" s="111"/>
      <c r="J126" s="111"/>
      <c r="K126" s="70" t="str">
        <f t="shared" si="15"/>
        <v/>
      </c>
      <c r="L126" s="36" t="str">
        <f t="shared" si="14"/>
        <v/>
      </c>
      <c r="M126" s="111"/>
      <c r="N126" s="111"/>
      <c r="O126" s="111"/>
      <c r="P126" s="111"/>
      <c r="Q126" s="111"/>
    </row>
    <row r="127" spans="1:17" x14ac:dyDescent="0.3">
      <c r="A127" s="166"/>
      <c r="B127" s="111"/>
      <c r="C127" s="111"/>
      <c r="D127" s="111"/>
      <c r="E127" s="111"/>
      <c r="F127" s="70" t="str">
        <f t="shared" si="12"/>
        <v/>
      </c>
      <c r="G127" s="70" t="str">
        <f t="shared" si="13"/>
        <v/>
      </c>
      <c r="H127" s="111"/>
      <c r="I127" s="111"/>
      <c r="J127" s="111"/>
      <c r="K127" s="70" t="str">
        <f t="shared" si="15"/>
        <v/>
      </c>
      <c r="L127" s="36" t="str">
        <f t="shared" si="14"/>
        <v/>
      </c>
      <c r="M127" s="111"/>
      <c r="N127" s="111"/>
      <c r="O127" s="111"/>
      <c r="P127" s="111"/>
      <c r="Q127" s="111"/>
    </row>
    <row r="128" spans="1:17" x14ac:dyDescent="0.3">
      <c r="A128" s="166"/>
      <c r="B128" s="111"/>
      <c r="C128" s="111"/>
      <c r="D128" s="111"/>
      <c r="E128" s="111"/>
      <c r="F128" s="70" t="str">
        <f t="shared" si="12"/>
        <v/>
      </c>
      <c r="G128" s="70" t="str">
        <f t="shared" si="13"/>
        <v/>
      </c>
      <c r="H128" s="111"/>
      <c r="I128" s="111"/>
      <c r="J128" s="111"/>
      <c r="K128" s="70" t="str">
        <f t="shared" si="15"/>
        <v/>
      </c>
      <c r="L128" s="36" t="str">
        <f t="shared" si="14"/>
        <v/>
      </c>
      <c r="M128" s="111"/>
      <c r="N128" s="111"/>
      <c r="O128" s="111"/>
      <c r="P128" s="111"/>
      <c r="Q128" s="111"/>
    </row>
    <row r="129" spans="1:17" x14ac:dyDescent="0.3">
      <c r="A129" s="166"/>
      <c r="B129" s="111"/>
      <c r="C129" s="111"/>
      <c r="D129" s="111"/>
      <c r="E129" s="111"/>
      <c r="F129" s="70" t="str">
        <f t="shared" si="12"/>
        <v/>
      </c>
      <c r="G129" s="70" t="str">
        <f t="shared" si="13"/>
        <v/>
      </c>
      <c r="H129" s="111"/>
      <c r="I129" s="111"/>
      <c r="J129" s="111"/>
      <c r="K129" s="70" t="str">
        <f t="shared" si="15"/>
        <v/>
      </c>
      <c r="L129" s="36" t="str">
        <f t="shared" si="14"/>
        <v/>
      </c>
      <c r="M129" s="111"/>
      <c r="N129" s="111"/>
      <c r="O129" s="111"/>
      <c r="P129" s="111"/>
      <c r="Q129" s="111"/>
    </row>
    <row r="130" spans="1:17" x14ac:dyDescent="0.3">
      <c r="A130" s="166"/>
      <c r="B130" s="111"/>
      <c r="C130" s="111"/>
      <c r="D130" s="111"/>
      <c r="E130" s="111"/>
      <c r="F130" s="70" t="str">
        <f t="shared" si="12"/>
        <v/>
      </c>
      <c r="G130" s="70" t="str">
        <f t="shared" si="13"/>
        <v/>
      </c>
      <c r="H130" s="111"/>
      <c r="I130" s="111"/>
      <c r="J130" s="111"/>
      <c r="K130" s="70" t="str">
        <f t="shared" si="15"/>
        <v/>
      </c>
      <c r="L130" s="36" t="str">
        <f t="shared" si="14"/>
        <v/>
      </c>
      <c r="M130" s="111"/>
      <c r="N130" s="111"/>
      <c r="O130" s="111"/>
      <c r="P130" s="111"/>
      <c r="Q130" s="111"/>
    </row>
    <row r="131" spans="1:17" x14ac:dyDescent="0.3">
      <c r="A131" s="166"/>
      <c r="B131" s="111"/>
      <c r="C131" s="111"/>
      <c r="D131" s="111"/>
      <c r="E131" s="111"/>
      <c r="F131" s="70" t="str">
        <f t="shared" si="12"/>
        <v/>
      </c>
      <c r="G131" s="70" t="str">
        <f t="shared" si="13"/>
        <v/>
      </c>
      <c r="H131" s="111"/>
      <c r="I131" s="111"/>
      <c r="J131" s="111"/>
      <c r="K131" s="70" t="str">
        <f t="shared" si="15"/>
        <v/>
      </c>
      <c r="L131" s="36" t="str">
        <f t="shared" si="14"/>
        <v/>
      </c>
      <c r="M131" s="111"/>
      <c r="N131" s="111"/>
      <c r="O131" s="111"/>
      <c r="P131" s="111"/>
      <c r="Q131" s="111"/>
    </row>
    <row r="132" spans="1:17" x14ac:dyDescent="0.3">
      <c r="A132" s="166"/>
      <c r="B132" s="111"/>
      <c r="C132" s="111"/>
      <c r="D132" s="111"/>
      <c r="E132" s="111"/>
      <c r="F132" s="70" t="str">
        <f t="shared" si="12"/>
        <v/>
      </c>
      <c r="G132" s="70" t="str">
        <f t="shared" si="13"/>
        <v/>
      </c>
      <c r="H132" s="111"/>
      <c r="I132" s="111"/>
      <c r="J132" s="111"/>
      <c r="K132" s="70" t="str">
        <f t="shared" si="15"/>
        <v/>
      </c>
      <c r="L132" s="36" t="str">
        <f t="shared" si="14"/>
        <v/>
      </c>
      <c r="M132" s="111"/>
      <c r="N132" s="111"/>
      <c r="O132" s="111"/>
      <c r="P132" s="111"/>
      <c r="Q132" s="111"/>
    </row>
    <row r="133" spans="1:17" x14ac:dyDescent="0.3">
      <c r="A133" s="166"/>
      <c r="B133" s="111"/>
      <c r="C133" s="111"/>
      <c r="D133" s="111"/>
      <c r="E133" s="111"/>
      <c r="F133" s="70" t="str">
        <f t="shared" si="12"/>
        <v/>
      </c>
      <c r="G133" s="70" t="str">
        <f t="shared" si="13"/>
        <v/>
      </c>
      <c r="H133" s="111"/>
      <c r="I133" s="111"/>
      <c r="J133" s="111"/>
      <c r="K133" s="70" t="str">
        <f t="shared" si="15"/>
        <v/>
      </c>
      <c r="L133" s="36" t="str">
        <f t="shared" si="14"/>
        <v/>
      </c>
      <c r="M133" s="111"/>
      <c r="N133" s="111"/>
      <c r="O133" s="111"/>
      <c r="P133" s="111"/>
      <c r="Q133" s="111"/>
    </row>
    <row r="134" spans="1:17" x14ac:dyDescent="0.3">
      <c r="A134" s="166"/>
      <c r="B134" s="111"/>
      <c r="C134" s="111"/>
      <c r="D134" s="111"/>
      <c r="E134" s="111"/>
      <c r="F134" s="70" t="str">
        <f t="shared" ref="F134:F165" si="16">IFERROR(INDEX($U$3:$U$23,MATCH(E134,$T$3:$T$23,0)),"")</f>
        <v/>
      </c>
      <c r="G134" s="70" t="str">
        <f t="shared" ref="G134:G165" si="17">IFERROR(INDEX($V$3:$V$23,MATCH(E134,$T$3:$T$23,0)),"")</f>
        <v/>
      </c>
      <c r="H134" s="111"/>
      <c r="I134" s="111"/>
      <c r="J134" s="111"/>
      <c r="K134" s="70" t="str">
        <f t="shared" si="15"/>
        <v/>
      </c>
      <c r="L134" s="36" t="str">
        <f t="shared" ref="L134:L165" si="18">IFERROR(I134/H134,"")</f>
        <v/>
      </c>
      <c r="M134" s="111"/>
      <c r="N134" s="111"/>
      <c r="O134" s="111"/>
      <c r="P134" s="111"/>
      <c r="Q134" s="111"/>
    </row>
    <row r="135" spans="1:17" x14ac:dyDescent="0.3">
      <c r="A135" s="166"/>
      <c r="B135" s="111"/>
      <c r="C135" s="111"/>
      <c r="D135" s="111"/>
      <c r="E135" s="111"/>
      <c r="F135" s="70" t="str">
        <f t="shared" si="16"/>
        <v/>
      </c>
      <c r="G135" s="70" t="str">
        <f t="shared" si="17"/>
        <v/>
      </c>
      <c r="H135" s="111"/>
      <c r="I135" s="111"/>
      <c r="J135" s="111"/>
      <c r="K135" s="70" t="str">
        <f t="shared" ref="K135:K166" si="19">IF(COUNT(I135:J135)=0,"",I135+J135)</f>
        <v/>
      </c>
      <c r="L135" s="36" t="str">
        <f t="shared" si="18"/>
        <v/>
      </c>
      <c r="M135" s="111"/>
      <c r="N135" s="111"/>
      <c r="O135" s="111"/>
      <c r="P135" s="111"/>
      <c r="Q135" s="111"/>
    </row>
    <row r="136" spans="1:17" x14ac:dyDescent="0.3">
      <c r="A136" s="166"/>
      <c r="B136" s="111"/>
      <c r="C136" s="111"/>
      <c r="D136" s="111"/>
      <c r="E136" s="111"/>
      <c r="F136" s="70" t="str">
        <f t="shared" si="16"/>
        <v/>
      </c>
      <c r="G136" s="70" t="str">
        <f t="shared" si="17"/>
        <v/>
      </c>
      <c r="H136" s="111"/>
      <c r="I136" s="111"/>
      <c r="J136" s="111"/>
      <c r="K136" s="70" t="str">
        <f t="shared" si="19"/>
        <v/>
      </c>
      <c r="L136" s="36" t="str">
        <f t="shared" si="18"/>
        <v/>
      </c>
      <c r="M136" s="111"/>
      <c r="N136" s="111"/>
      <c r="O136" s="111"/>
      <c r="P136" s="111"/>
      <c r="Q136" s="111"/>
    </row>
    <row r="137" spans="1:17" x14ac:dyDescent="0.3">
      <c r="A137" s="166"/>
      <c r="B137" s="111"/>
      <c r="C137" s="111"/>
      <c r="D137" s="111"/>
      <c r="E137" s="111"/>
      <c r="F137" s="70" t="str">
        <f t="shared" si="16"/>
        <v/>
      </c>
      <c r="G137" s="70" t="str">
        <f t="shared" si="17"/>
        <v/>
      </c>
      <c r="H137" s="111"/>
      <c r="I137" s="111"/>
      <c r="J137" s="111"/>
      <c r="K137" s="70" t="str">
        <f t="shared" si="19"/>
        <v/>
      </c>
      <c r="L137" s="36" t="str">
        <f t="shared" si="18"/>
        <v/>
      </c>
      <c r="M137" s="111"/>
      <c r="N137" s="111"/>
      <c r="O137" s="111"/>
      <c r="P137" s="111"/>
      <c r="Q137" s="111"/>
    </row>
    <row r="138" spans="1:17" x14ac:dyDescent="0.3">
      <c r="A138" s="166"/>
      <c r="B138" s="111"/>
      <c r="C138" s="111"/>
      <c r="D138" s="111"/>
      <c r="E138" s="111"/>
      <c r="F138" s="70" t="str">
        <f t="shared" si="16"/>
        <v/>
      </c>
      <c r="G138" s="70" t="str">
        <f t="shared" si="17"/>
        <v/>
      </c>
      <c r="H138" s="111"/>
      <c r="I138" s="111"/>
      <c r="J138" s="111"/>
      <c r="K138" s="70" t="str">
        <f t="shared" si="19"/>
        <v/>
      </c>
      <c r="L138" s="36" t="str">
        <f t="shared" si="18"/>
        <v/>
      </c>
      <c r="M138" s="111"/>
      <c r="N138" s="111"/>
      <c r="O138" s="111"/>
      <c r="P138" s="111"/>
      <c r="Q138" s="111"/>
    </row>
    <row r="139" spans="1:17" x14ac:dyDescent="0.3">
      <c r="A139" s="166"/>
      <c r="B139" s="111"/>
      <c r="C139" s="111"/>
      <c r="D139" s="111"/>
      <c r="E139" s="111"/>
      <c r="F139" s="70" t="str">
        <f t="shared" si="16"/>
        <v/>
      </c>
      <c r="G139" s="70" t="str">
        <f t="shared" si="17"/>
        <v/>
      </c>
      <c r="H139" s="111"/>
      <c r="I139" s="111"/>
      <c r="J139" s="111"/>
      <c r="K139" s="70" t="str">
        <f t="shared" si="19"/>
        <v/>
      </c>
      <c r="L139" s="36" t="str">
        <f t="shared" si="18"/>
        <v/>
      </c>
      <c r="M139" s="111"/>
      <c r="N139" s="111"/>
      <c r="O139" s="111"/>
      <c r="P139" s="111"/>
      <c r="Q139" s="111"/>
    </row>
    <row r="140" spans="1:17" x14ac:dyDescent="0.3">
      <c r="A140" s="166"/>
      <c r="B140" s="111"/>
      <c r="C140" s="111"/>
      <c r="D140" s="111"/>
      <c r="E140" s="111"/>
      <c r="F140" s="70" t="str">
        <f t="shared" si="16"/>
        <v/>
      </c>
      <c r="G140" s="70" t="str">
        <f t="shared" si="17"/>
        <v/>
      </c>
      <c r="H140" s="111"/>
      <c r="I140" s="111"/>
      <c r="J140" s="111"/>
      <c r="K140" s="70" t="str">
        <f t="shared" si="19"/>
        <v/>
      </c>
      <c r="L140" s="36" t="str">
        <f t="shared" si="18"/>
        <v/>
      </c>
      <c r="M140" s="111"/>
      <c r="N140" s="111"/>
      <c r="O140" s="111"/>
      <c r="P140" s="111"/>
      <c r="Q140" s="111"/>
    </row>
    <row r="141" spans="1:17" x14ac:dyDescent="0.3">
      <c r="A141" s="166"/>
      <c r="B141" s="111"/>
      <c r="C141" s="111"/>
      <c r="D141" s="111"/>
      <c r="E141" s="111"/>
      <c r="F141" s="70" t="str">
        <f t="shared" si="16"/>
        <v/>
      </c>
      <c r="G141" s="70" t="str">
        <f t="shared" si="17"/>
        <v/>
      </c>
      <c r="H141" s="111"/>
      <c r="I141" s="111"/>
      <c r="J141" s="111"/>
      <c r="K141" s="70" t="str">
        <f t="shared" si="19"/>
        <v/>
      </c>
      <c r="L141" s="36" t="str">
        <f t="shared" si="18"/>
        <v/>
      </c>
      <c r="M141" s="111"/>
      <c r="N141" s="111"/>
      <c r="O141" s="111"/>
      <c r="P141" s="111"/>
      <c r="Q141" s="111"/>
    </row>
    <row r="142" spans="1:17" x14ac:dyDescent="0.3">
      <c r="A142" s="166"/>
      <c r="B142" s="111"/>
      <c r="C142" s="111"/>
      <c r="D142" s="111"/>
      <c r="E142" s="111"/>
      <c r="F142" s="70" t="str">
        <f t="shared" si="16"/>
        <v/>
      </c>
      <c r="G142" s="70" t="str">
        <f t="shared" si="17"/>
        <v/>
      </c>
      <c r="H142" s="111"/>
      <c r="I142" s="111"/>
      <c r="J142" s="111"/>
      <c r="K142" s="70" t="str">
        <f t="shared" si="19"/>
        <v/>
      </c>
      <c r="L142" s="36" t="str">
        <f t="shared" si="18"/>
        <v/>
      </c>
      <c r="M142" s="111"/>
      <c r="N142" s="111"/>
      <c r="O142" s="111"/>
      <c r="P142" s="111"/>
      <c r="Q142" s="111"/>
    </row>
    <row r="143" spans="1:17" x14ac:dyDescent="0.3">
      <c r="A143" s="166"/>
      <c r="B143" s="111"/>
      <c r="C143" s="111"/>
      <c r="D143" s="111"/>
      <c r="E143" s="111"/>
      <c r="F143" s="70" t="str">
        <f t="shared" si="16"/>
        <v/>
      </c>
      <c r="G143" s="70" t="str">
        <f t="shared" si="17"/>
        <v/>
      </c>
      <c r="H143" s="111"/>
      <c r="I143" s="111"/>
      <c r="J143" s="111"/>
      <c r="K143" s="70" t="str">
        <f t="shared" si="19"/>
        <v/>
      </c>
      <c r="L143" s="36" t="str">
        <f t="shared" si="18"/>
        <v/>
      </c>
      <c r="M143" s="111"/>
      <c r="N143" s="111"/>
      <c r="O143" s="111"/>
      <c r="P143" s="111"/>
      <c r="Q143" s="111"/>
    </row>
    <row r="144" spans="1:17" x14ac:dyDescent="0.3">
      <c r="A144" s="166"/>
      <c r="B144" s="111"/>
      <c r="C144" s="111"/>
      <c r="D144" s="111"/>
      <c r="E144" s="111"/>
      <c r="F144" s="70" t="str">
        <f t="shared" si="16"/>
        <v/>
      </c>
      <c r="G144" s="70" t="str">
        <f t="shared" si="17"/>
        <v/>
      </c>
      <c r="H144" s="111"/>
      <c r="I144" s="111"/>
      <c r="J144" s="111"/>
      <c r="K144" s="70" t="str">
        <f t="shared" si="19"/>
        <v/>
      </c>
      <c r="L144" s="36" t="str">
        <f t="shared" si="18"/>
        <v/>
      </c>
      <c r="M144" s="111"/>
      <c r="N144" s="111"/>
      <c r="O144" s="111"/>
      <c r="P144" s="111"/>
      <c r="Q144" s="111"/>
    </row>
    <row r="145" spans="1:17" x14ac:dyDescent="0.3">
      <c r="A145" s="166"/>
      <c r="B145" s="111"/>
      <c r="C145" s="111"/>
      <c r="D145" s="111"/>
      <c r="E145" s="111"/>
      <c r="F145" s="70" t="str">
        <f t="shared" si="16"/>
        <v/>
      </c>
      <c r="G145" s="70" t="str">
        <f t="shared" si="17"/>
        <v/>
      </c>
      <c r="H145" s="111"/>
      <c r="I145" s="111"/>
      <c r="J145" s="111"/>
      <c r="K145" s="70" t="str">
        <f t="shared" si="19"/>
        <v/>
      </c>
      <c r="L145" s="36" t="str">
        <f t="shared" si="18"/>
        <v/>
      </c>
      <c r="M145" s="111"/>
      <c r="N145" s="111"/>
      <c r="O145" s="111"/>
      <c r="P145" s="111"/>
      <c r="Q145" s="111"/>
    </row>
    <row r="146" spans="1:17" x14ac:dyDescent="0.3">
      <c r="A146" s="166"/>
      <c r="B146" s="111"/>
      <c r="C146" s="111"/>
      <c r="D146" s="111"/>
      <c r="E146" s="111"/>
      <c r="F146" s="70" t="str">
        <f t="shared" si="16"/>
        <v/>
      </c>
      <c r="G146" s="70" t="str">
        <f t="shared" si="17"/>
        <v/>
      </c>
      <c r="H146" s="111"/>
      <c r="I146" s="111"/>
      <c r="J146" s="111"/>
      <c r="K146" s="70" t="str">
        <f t="shared" si="19"/>
        <v/>
      </c>
      <c r="L146" s="36" t="str">
        <f t="shared" si="18"/>
        <v/>
      </c>
      <c r="M146" s="111"/>
      <c r="N146" s="111"/>
      <c r="O146" s="111"/>
      <c r="P146" s="111"/>
      <c r="Q146" s="111"/>
    </row>
    <row r="147" spans="1:17" x14ac:dyDescent="0.3">
      <c r="A147" s="166"/>
      <c r="B147" s="111"/>
      <c r="C147" s="111"/>
      <c r="D147" s="111"/>
      <c r="E147" s="111"/>
      <c r="F147" s="70" t="str">
        <f t="shared" si="16"/>
        <v/>
      </c>
      <c r="G147" s="70" t="str">
        <f t="shared" si="17"/>
        <v/>
      </c>
      <c r="H147" s="111"/>
      <c r="I147" s="111"/>
      <c r="J147" s="111"/>
      <c r="K147" s="70" t="str">
        <f t="shared" si="19"/>
        <v/>
      </c>
      <c r="L147" s="36" t="str">
        <f t="shared" si="18"/>
        <v/>
      </c>
      <c r="M147" s="111"/>
      <c r="N147" s="111"/>
      <c r="O147" s="111"/>
      <c r="P147" s="111"/>
      <c r="Q147" s="111"/>
    </row>
    <row r="148" spans="1:17" x14ac:dyDescent="0.3">
      <c r="A148" s="166"/>
      <c r="B148" s="111"/>
      <c r="C148" s="111"/>
      <c r="D148" s="111"/>
      <c r="E148" s="111"/>
      <c r="F148" s="70" t="str">
        <f t="shared" si="16"/>
        <v/>
      </c>
      <c r="G148" s="70" t="str">
        <f t="shared" si="17"/>
        <v/>
      </c>
      <c r="H148" s="111"/>
      <c r="I148" s="111"/>
      <c r="J148" s="111"/>
      <c r="K148" s="70" t="str">
        <f t="shared" si="19"/>
        <v/>
      </c>
      <c r="L148" s="36" t="str">
        <f t="shared" si="18"/>
        <v/>
      </c>
      <c r="M148" s="111"/>
      <c r="N148" s="111"/>
      <c r="O148" s="111"/>
      <c r="P148" s="111"/>
      <c r="Q148" s="111"/>
    </row>
    <row r="149" spans="1:17" x14ac:dyDescent="0.3">
      <c r="A149" s="166"/>
      <c r="B149" s="111"/>
      <c r="C149" s="111"/>
      <c r="D149" s="111"/>
      <c r="E149" s="111"/>
      <c r="F149" s="70" t="str">
        <f t="shared" si="16"/>
        <v/>
      </c>
      <c r="G149" s="70" t="str">
        <f t="shared" si="17"/>
        <v/>
      </c>
      <c r="H149" s="111"/>
      <c r="I149" s="111"/>
      <c r="J149" s="111"/>
      <c r="K149" s="70" t="str">
        <f t="shared" si="19"/>
        <v/>
      </c>
      <c r="L149" s="36" t="str">
        <f t="shared" si="18"/>
        <v/>
      </c>
      <c r="M149" s="111"/>
      <c r="N149" s="111"/>
      <c r="O149" s="111"/>
      <c r="P149" s="111"/>
      <c r="Q149" s="111"/>
    </row>
    <row r="150" spans="1:17" x14ac:dyDescent="0.3">
      <c r="A150" s="166"/>
      <c r="B150" s="111"/>
      <c r="C150" s="111"/>
      <c r="D150" s="111"/>
      <c r="E150" s="111"/>
      <c r="F150" s="70" t="str">
        <f t="shared" si="16"/>
        <v/>
      </c>
      <c r="G150" s="70" t="str">
        <f t="shared" si="17"/>
        <v/>
      </c>
      <c r="H150" s="111"/>
      <c r="I150" s="111"/>
      <c r="J150" s="111"/>
      <c r="K150" s="70" t="str">
        <f t="shared" si="19"/>
        <v/>
      </c>
      <c r="L150" s="36" t="str">
        <f t="shared" si="18"/>
        <v/>
      </c>
      <c r="M150" s="111"/>
      <c r="N150" s="111"/>
      <c r="O150" s="111"/>
      <c r="P150" s="111"/>
      <c r="Q150" s="111"/>
    </row>
    <row r="151" spans="1:17" x14ac:dyDescent="0.3">
      <c r="A151" s="166"/>
      <c r="B151" s="111"/>
      <c r="C151" s="111"/>
      <c r="D151" s="111"/>
      <c r="E151" s="111"/>
      <c r="F151" s="70" t="str">
        <f t="shared" si="16"/>
        <v/>
      </c>
      <c r="G151" s="70" t="str">
        <f t="shared" si="17"/>
        <v/>
      </c>
      <c r="H151" s="111"/>
      <c r="I151" s="111"/>
      <c r="J151" s="111"/>
      <c r="K151" s="70" t="str">
        <f t="shared" si="19"/>
        <v/>
      </c>
      <c r="L151" s="36" t="str">
        <f t="shared" si="18"/>
        <v/>
      </c>
      <c r="M151" s="111"/>
      <c r="N151" s="111"/>
      <c r="O151" s="111"/>
      <c r="P151" s="111"/>
      <c r="Q151" s="111"/>
    </row>
    <row r="152" spans="1:17" x14ac:dyDescent="0.3">
      <c r="A152" s="166"/>
      <c r="B152" s="111"/>
      <c r="C152" s="111"/>
      <c r="D152" s="111"/>
      <c r="E152" s="111"/>
      <c r="F152" s="70" t="str">
        <f t="shared" si="16"/>
        <v/>
      </c>
      <c r="G152" s="70" t="str">
        <f t="shared" si="17"/>
        <v/>
      </c>
      <c r="H152" s="111"/>
      <c r="I152" s="111"/>
      <c r="J152" s="111"/>
      <c r="K152" s="70" t="str">
        <f t="shared" si="19"/>
        <v/>
      </c>
      <c r="L152" s="36" t="str">
        <f t="shared" si="18"/>
        <v/>
      </c>
      <c r="M152" s="111"/>
      <c r="N152" s="111"/>
      <c r="O152" s="111"/>
      <c r="P152" s="111"/>
      <c r="Q152" s="111"/>
    </row>
    <row r="153" spans="1:17" x14ac:dyDescent="0.3">
      <c r="A153" s="166"/>
      <c r="B153" s="111"/>
      <c r="C153" s="111"/>
      <c r="D153" s="111"/>
      <c r="E153" s="111"/>
      <c r="F153" s="70" t="str">
        <f t="shared" si="16"/>
        <v/>
      </c>
      <c r="G153" s="70" t="str">
        <f t="shared" si="17"/>
        <v/>
      </c>
      <c r="H153" s="111"/>
      <c r="I153" s="111"/>
      <c r="J153" s="111"/>
      <c r="K153" s="70" t="str">
        <f t="shared" si="19"/>
        <v/>
      </c>
      <c r="L153" s="36" t="str">
        <f t="shared" si="18"/>
        <v/>
      </c>
      <c r="M153" s="111"/>
      <c r="N153" s="111"/>
      <c r="O153" s="111"/>
      <c r="P153" s="111"/>
      <c r="Q153" s="111"/>
    </row>
    <row r="154" spans="1:17" x14ac:dyDescent="0.3">
      <c r="A154" s="166"/>
      <c r="B154" s="111"/>
      <c r="C154" s="111"/>
      <c r="D154" s="111"/>
      <c r="E154" s="111"/>
      <c r="F154" s="70" t="str">
        <f t="shared" si="16"/>
        <v/>
      </c>
      <c r="G154" s="70" t="str">
        <f t="shared" si="17"/>
        <v/>
      </c>
      <c r="H154" s="111"/>
      <c r="I154" s="111"/>
      <c r="J154" s="111"/>
      <c r="K154" s="70" t="str">
        <f t="shared" si="19"/>
        <v/>
      </c>
      <c r="L154" s="36" t="str">
        <f t="shared" si="18"/>
        <v/>
      </c>
      <c r="M154" s="111"/>
      <c r="N154" s="111"/>
      <c r="O154" s="111"/>
      <c r="P154" s="111"/>
      <c r="Q154" s="111"/>
    </row>
    <row r="155" spans="1:17" x14ac:dyDescent="0.3">
      <c r="A155" s="166"/>
      <c r="B155" s="111"/>
      <c r="C155" s="111"/>
      <c r="D155" s="111"/>
      <c r="E155" s="111"/>
      <c r="F155" s="70" t="str">
        <f t="shared" si="16"/>
        <v/>
      </c>
      <c r="G155" s="70" t="str">
        <f t="shared" si="17"/>
        <v/>
      </c>
      <c r="H155" s="111"/>
      <c r="I155" s="111"/>
      <c r="J155" s="111"/>
      <c r="K155" s="70" t="str">
        <f t="shared" si="19"/>
        <v/>
      </c>
      <c r="L155" s="36" t="str">
        <f t="shared" si="18"/>
        <v/>
      </c>
      <c r="M155" s="111"/>
      <c r="N155" s="111"/>
      <c r="O155" s="111"/>
      <c r="P155" s="111"/>
      <c r="Q155" s="111"/>
    </row>
    <row r="156" spans="1:17" x14ac:dyDescent="0.3">
      <c r="A156" s="166"/>
      <c r="B156" s="111"/>
      <c r="C156" s="111"/>
      <c r="D156" s="111"/>
      <c r="E156" s="111"/>
      <c r="F156" s="70" t="str">
        <f t="shared" si="16"/>
        <v/>
      </c>
      <c r="G156" s="70" t="str">
        <f t="shared" si="17"/>
        <v/>
      </c>
      <c r="H156" s="111"/>
      <c r="I156" s="111"/>
      <c r="J156" s="111"/>
      <c r="K156" s="70" t="str">
        <f t="shared" si="19"/>
        <v/>
      </c>
      <c r="L156" s="36" t="str">
        <f t="shared" si="18"/>
        <v/>
      </c>
      <c r="M156" s="111"/>
      <c r="N156" s="111"/>
      <c r="O156" s="111"/>
      <c r="P156" s="111"/>
      <c r="Q156" s="111"/>
    </row>
    <row r="157" spans="1:17" x14ac:dyDescent="0.3">
      <c r="A157" s="166"/>
      <c r="B157" s="111"/>
      <c r="C157" s="111"/>
      <c r="D157" s="111"/>
      <c r="E157" s="111"/>
      <c r="F157" s="70" t="str">
        <f t="shared" si="16"/>
        <v/>
      </c>
      <c r="G157" s="70" t="str">
        <f t="shared" si="17"/>
        <v/>
      </c>
      <c r="H157" s="111"/>
      <c r="I157" s="111"/>
      <c r="J157" s="111"/>
      <c r="K157" s="70" t="str">
        <f t="shared" si="19"/>
        <v/>
      </c>
      <c r="L157" s="36" t="str">
        <f t="shared" si="18"/>
        <v/>
      </c>
      <c r="M157" s="111"/>
      <c r="N157" s="111"/>
      <c r="O157" s="111"/>
      <c r="P157" s="111"/>
      <c r="Q157" s="111"/>
    </row>
    <row r="158" spans="1:17" x14ac:dyDescent="0.3">
      <c r="A158" s="166"/>
      <c r="B158" s="111"/>
      <c r="C158" s="111"/>
      <c r="D158" s="111"/>
      <c r="E158" s="111"/>
      <c r="F158" s="70" t="str">
        <f t="shared" si="16"/>
        <v/>
      </c>
      <c r="G158" s="70" t="str">
        <f t="shared" si="17"/>
        <v/>
      </c>
      <c r="H158" s="111"/>
      <c r="I158" s="111"/>
      <c r="J158" s="111"/>
      <c r="K158" s="70" t="str">
        <f t="shared" si="19"/>
        <v/>
      </c>
      <c r="L158" s="36" t="str">
        <f t="shared" si="18"/>
        <v/>
      </c>
      <c r="M158" s="111"/>
      <c r="N158" s="111"/>
      <c r="O158" s="111"/>
      <c r="P158" s="111"/>
      <c r="Q158" s="111"/>
    </row>
    <row r="159" spans="1:17" x14ac:dyDescent="0.3">
      <c r="A159" s="166"/>
      <c r="B159" s="111"/>
      <c r="C159" s="111"/>
      <c r="D159" s="111"/>
      <c r="E159" s="111"/>
      <c r="F159" s="70" t="str">
        <f t="shared" si="16"/>
        <v/>
      </c>
      <c r="G159" s="70" t="str">
        <f t="shared" si="17"/>
        <v/>
      </c>
      <c r="H159" s="111"/>
      <c r="I159" s="111"/>
      <c r="J159" s="111"/>
      <c r="K159" s="70" t="str">
        <f t="shared" si="19"/>
        <v/>
      </c>
      <c r="L159" s="36" t="str">
        <f t="shared" si="18"/>
        <v/>
      </c>
      <c r="M159" s="111"/>
      <c r="N159" s="111"/>
      <c r="O159" s="111"/>
      <c r="P159" s="111"/>
      <c r="Q159" s="111"/>
    </row>
    <row r="160" spans="1:17" x14ac:dyDescent="0.3">
      <c r="A160" s="166"/>
      <c r="B160" s="111"/>
      <c r="C160" s="111"/>
      <c r="D160" s="111"/>
      <c r="E160" s="111"/>
      <c r="F160" s="70" t="str">
        <f t="shared" si="16"/>
        <v/>
      </c>
      <c r="G160" s="70" t="str">
        <f t="shared" si="17"/>
        <v/>
      </c>
      <c r="H160" s="111"/>
      <c r="I160" s="111"/>
      <c r="J160" s="111"/>
      <c r="K160" s="70" t="str">
        <f t="shared" si="19"/>
        <v/>
      </c>
      <c r="L160" s="36" t="str">
        <f t="shared" si="18"/>
        <v/>
      </c>
      <c r="M160" s="111"/>
      <c r="N160" s="111"/>
      <c r="O160" s="111"/>
      <c r="P160" s="111"/>
      <c r="Q160" s="111"/>
    </row>
    <row r="161" spans="1:17" x14ac:dyDescent="0.3">
      <c r="A161" s="166"/>
      <c r="B161" s="111"/>
      <c r="C161" s="111"/>
      <c r="D161" s="111"/>
      <c r="E161" s="111"/>
      <c r="F161" s="70" t="str">
        <f t="shared" si="16"/>
        <v/>
      </c>
      <c r="G161" s="70" t="str">
        <f t="shared" si="17"/>
        <v/>
      </c>
      <c r="H161" s="111"/>
      <c r="I161" s="111"/>
      <c r="J161" s="111"/>
      <c r="K161" s="70" t="str">
        <f t="shared" si="19"/>
        <v/>
      </c>
      <c r="L161" s="36" t="str">
        <f t="shared" si="18"/>
        <v/>
      </c>
      <c r="M161" s="111"/>
      <c r="N161" s="111"/>
      <c r="O161" s="111"/>
      <c r="P161" s="111"/>
      <c r="Q161" s="111"/>
    </row>
    <row r="162" spans="1:17" x14ac:dyDescent="0.3">
      <c r="A162" s="166"/>
      <c r="B162" s="111"/>
      <c r="C162" s="111"/>
      <c r="D162" s="111"/>
      <c r="E162" s="111"/>
      <c r="F162" s="70" t="str">
        <f t="shared" si="16"/>
        <v/>
      </c>
      <c r="G162" s="70" t="str">
        <f t="shared" si="17"/>
        <v/>
      </c>
      <c r="H162" s="111"/>
      <c r="I162" s="111"/>
      <c r="J162" s="111"/>
      <c r="K162" s="70" t="str">
        <f t="shared" si="19"/>
        <v/>
      </c>
      <c r="L162" s="36" t="str">
        <f t="shared" si="18"/>
        <v/>
      </c>
      <c r="M162" s="111"/>
      <c r="N162" s="111"/>
      <c r="O162" s="111"/>
      <c r="P162" s="111"/>
      <c r="Q162" s="111"/>
    </row>
    <row r="163" spans="1:17" x14ac:dyDescent="0.3">
      <c r="A163" s="166"/>
      <c r="B163" s="111"/>
      <c r="C163" s="111"/>
      <c r="D163" s="111"/>
      <c r="E163" s="111"/>
      <c r="F163" s="70" t="str">
        <f t="shared" si="16"/>
        <v/>
      </c>
      <c r="G163" s="70" t="str">
        <f t="shared" si="17"/>
        <v/>
      </c>
      <c r="H163" s="111"/>
      <c r="I163" s="111"/>
      <c r="J163" s="111"/>
      <c r="K163" s="70" t="str">
        <f t="shared" si="19"/>
        <v/>
      </c>
      <c r="L163" s="36" t="str">
        <f t="shared" si="18"/>
        <v/>
      </c>
      <c r="M163" s="111"/>
      <c r="N163" s="111"/>
      <c r="O163" s="111"/>
      <c r="P163" s="111"/>
      <c r="Q163" s="111"/>
    </row>
    <row r="164" spans="1:17" x14ac:dyDescent="0.3">
      <c r="A164" s="166"/>
      <c r="B164" s="111"/>
      <c r="C164" s="111"/>
      <c r="D164" s="111"/>
      <c r="E164" s="111"/>
      <c r="F164" s="70" t="str">
        <f t="shared" si="16"/>
        <v/>
      </c>
      <c r="G164" s="70" t="str">
        <f t="shared" si="17"/>
        <v/>
      </c>
      <c r="H164" s="111"/>
      <c r="I164" s="111"/>
      <c r="J164" s="111"/>
      <c r="K164" s="70" t="str">
        <f t="shared" si="19"/>
        <v/>
      </c>
      <c r="L164" s="36" t="str">
        <f t="shared" si="18"/>
        <v/>
      </c>
      <c r="M164" s="111"/>
      <c r="N164" s="111"/>
      <c r="O164" s="111"/>
      <c r="P164" s="111"/>
      <c r="Q164" s="111"/>
    </row>
    <row r="165" spans="1:17" x14ac:dyDescent="0.3">
      <c r="A165" s="166"/>
      <c r="B165" s="111"/>
      <c r="C165" s="111"/>
      <c r="D165" s="111"/>
      <c r="E165" s="111"/>
      <c r="F165" s="70" t="str">
        <f t="shared" si="16"/>
        <v/>
      </c>
      <c r="G165" s="70" t="str">
        <f t="shared" si="17"/>
        <v/>
      </c>
      <c r="H165" s="111"/>
      <c r="I165" s="111"/>
      <c r="J165" s="111"/>
      <c r="K165" s="70" t="str">
        <f t="shared" si="19"/>
        <v/>
      </c>
      <c r="L165" s="36" t="str">
        <f t="shared" si="18"/>
        <v/>
      </c>
      <c r="M165" s="111"/>
      <c r="N165" s="111"/>
      <c r="O165" s="111"/>
      <c r="P165" s="111"/>
      <c r="Q165" s="111"/>
    </row>
    <row r="166" spans="1:17" x14ac:dyDescent="0.3">
      <c r="A166" s="166"/>
      <c r="B166" s="111"/>
      <c r="C166" s="111"/>
      <c r="D166" s="111"/>
      <c r="E166" s="111"/>
      <c r="F166" s="70" t="str">
        <f t="shared" ref="F166:F197" si="20">IFERROR(INDEX($U$3:$U$23,MATCH(E166,$T$3:$T$23,0)),"")</f>
        <v/>
      </c>
      <c r="G166" s="70" t="str">
        <f t="shared" ref="G166:G199" si="21">IFERROR(INDEX($V$3:$V$23,MATCH(E166,$T$3:$T$23,0)),"")</f>
        <v/>
      </c>
      <c r="H166" s="111"/>
      <c r="I166" s="111"/>
      <c r="J166" s="111"/>
      <c r="K166" s="70" t="str">
        <f t="shared" si="19"/>
        <v/>
      </c>
      <c r="L166" s="36" t="str">
        <f t="shared" ref="L166:L199" si="22">IFERROR(I166/H166,"")</f>
        <v/>
      </c>
      <c r="M166" s="111"/>
      <c r="N166" s="111"/>
      <c r="O166" s="111"/>
      <c r="P166" s="111"/>
      <c r="Q166" s="111"/>
    </row>
    <row r="167" spans="1:17" x14ac:dyDescent="0.3">
      <c r="A167" s="166"/>
      <c r="B167" s="111"/>
      <c r="C167" s="111"/>
      <c r="D167" s="111"/>
      <c r="E167" s="111"/>
      <c r="F167" s="70" t="str">
        <f t="shared" si="20"/>
        <v/>
      </c>
      <c r="G167" s="70" t="str">
        <f t="shared" si="21"/>
        <v/>
      </c>
      <c r="H167" s="111"/>
      <c r="I167" s="111"/>
      <c r="J167" s="111"/>
      <c r="K167" s="70" t="str">
        <f t="shared" ref="K167:K198" si="23">IF(COUNT(I167:J167)=0,"",I167+J167)</f>
        <v/>
      </c>
      <c r="L167" s="36" t="str">
        <f t="shared" si="22"/>
        <v/>
      </c>
      <c r="M167" s="111"/>
      <c r="N167" s="111"/>
      <c r="O167" s="111"/>
      <c r="P167" s="111"/>
      <c r="Q167" s="111"/>
    </row>
    <row r="168" spans="1:17" x14ac:dyDescent="0.3">
      <c r="A168" s="166"/>
      <c r="B168" s="111"/>
      <c r="C168" s="111"/>
      <c r="D168" s="111"/>
      <c r="E168" s="111"/>
      <c r="F168" s="70" t="str">
        <f t="shared" si="20"/>
        <v/>
      </c>
      <c r="G168" s="70" t="str">
        <f t="shared" si="21"/>
        <v/>
      </c>
      <c r="H168" s="111"/>
      <c r="I168" s="111"/>
      <c r="J168" s="111"/>
      <c r="K168" s="70" t="str">
        <f t="shared" si="23"/>
        <v/>
      </c>
      <c r="L168" s="36" t="str">
        <f t="shared" si="22"/>
        <v/>
      </c>
      <c r="M168" s="111"/>
      <c r="N168" s="111"/>
      <c r="O168" s="111"/>
      <c r="P168" s="111"/>
      <c r="Q168" s="111"/>
    </row>
    <row r="169" spans="1:17" x14ac:dyDescent="0.3">
      <c r="A169" s="166"/>
      <c r="B169" s="111"/>
      <c r="C169" s="111"/>
      <c r="D169" s="111"/>
      <c r="E169" s="111"/>
      <c r="F169" s="70" t="str">
        <f t="shared" si="20"/>
        <v/>
      </c>
      <c r="G169" s="70" t="str">
        <f t="shared" si="21"/>
        <v/>
      </c>
      <c r="H169" s="111"/>
      <c r="I169" s="111"/>
      <c r="J169" s="111"/>
      <c r="K169" s="70" t="str">
        <f t="shared" si="23"/>
        <v/>
      </c>
      <c r="L169" s="36" t="str">
        <f t="shared" si="22"/>
        <v/>
      </c>
      <c r="M169" s="111"/>
      <c r="N169" s="111"/>
      <c r="O169" s="111"/>
      <c r="P169" s="111"/>
      <c r="Q169" s="111"/>
    </row>
    <row r="170" spans="1:17" x14ac:dyDescent="0.3">
      <c r="A170" s="166"/>
      <c r="B170" s="111"/>
      <c r="C170" s="111"/>
      <c r="D170" s="111"/>
      <c r="E170" s="111"/>
      <c r="F170" s="70" t="str">
        <f t="shared" si="20"/>
        <v/>
      </c>
      <c r="G170" s="70" t="str">
        <f t="shared" si="21"/>
        <v/>
      </c>
      <c r="H170" s="111"/>
      <c r="I170" s="111"/>
      <c r="J170" s="111"/>
      <c r="K170" s="70" t="str">
        <f t="shared" si="23"/>
        <v/>
      </c>
      <c r="L170" s="36" t="str">
        <f t="shared" si="22"/>
        <v/>
      </c>
      <c r="M170" s="111"/>
      <c r="N170" s="111"/>
      <c r="O170" s="111"/>
      <c r="P170" s="111"/>
      <c r="Q170" s="111"/>
    </row>
    <row r="171" spans="1:17" x14ac:dyDescent="0.3">
      <c r="A171" s="166"/>
      <c r="B171" s="111"/>
      <c r="C171" s="111"/>
      <c r="D171" s="111"/>
      <c r="E171" s="111"/>
      <c r="F171" s="70" t="str">
        <f t="shared" si="20"/>
        <v/>
      </c>
      <c r="G171" s="70" t="str">
        <f t="shared" si="21"/>
        <v/>
      </c>
      <c r="H171" s="111"/>
      <c r="I171" s="111"/>
      <c r="J171" s="111"/>
      <c r="K171" s="70" t="str">
        <f t="shared" si="23"/>
        <v/>
      </c>
      <c r="L171" s="36" t="str">
        <f t="shared" si="22"/>
        <v/>
      </c>
      <c r="M171" s="111"/>
      <c r="N171" s="111"/>
      <c r="O171" s="111"/>
      <c r="P171" s="111"/>
      <c r="Q171" s="111"/>
    </row>
    <row r="172" spans="1:17" x14ac:dyDescent="0.3">
      <c r="A172" s="166"/>
      <c r="B172" s="111"/>
      <c r="C172" s="111"/>
      <c r="D172" s="111"/>
      <c r="E172" s="111"/>
      <c r="F172" s="70" t="str">
        <f t="shared" si="20"/>
        <v/>
      </c>
      <c r="G172" s="70" t="str">
        <f t="shared" si="21"/>
        <v/>
      </c>
      <c r="H172" s="111"/>
      <c r="I172" s="111"/>
      <c r="J172" s="111"/>
      <c r="K172" s="70" t="str">
        <f t="shared" si="23"/>
        <v/>
      </c>
      <c r="L172" s="36" t="str">
        <f t="shared" si="22"/>
        <v/>
      </c>
      <c r="M172" s="111"/>
      <c r="N172" s="111"/>
      <c r="O172" s="111"/>
      <c r="P172" s="111"/>
      <c r="Q172" s="111"/>
    </row>
    <row r="173" spans="1:17" x14ac:dyDescent="0.3">
      <c r="A173" s="166"/>
      <c r="B173" s="111"/>
      <c r="C173" s="111"/>
      <c r="D173" s="111"/>
      <c r="E173" s="111"/>
      <c r="F173" s="70" t="str">
        <f t="shared" si="20"/>
        <v/>
      </c>
      <c r="G173" s="70" t="str">
        <f t="shared" si="21"/>
        <v/>
      </c>
      <c r="H173" s="111"/>
      <c r="I173" s="111"/>
      <c r="J173" s="111"/>
      <c r="K173" s="70" t="str">
        <f t="shared" si="23"/>
        <v/>
      </c>
      <c r="L173" s="36" t="str">
        <f t="shared" si="22"/>
        <v/>
      </c>
      <c r="M173" s="111"/>
      <c r="N173" s="111"/>
      <c r="O173" s="111"/>
      <c r="P173" s="111"/>
      <c r="Q173" s="111"/>
    </row>
    <row r="174" spans="1:17" x14ac:dyDescent="0.3">
      <c r="A174" s="166"/>
      <c r="B174" s="111"/>
      <c r="C174" s="111"/>
      <c r="D174" s="111"/>
      <c r="E174" s="111"/>
      <c r="F174" s="70" t="str">
        <f t="shared" si="20"/>
        <v/>
      </c>
      <c r="G174" s="70" t="str">
        <f t="shared" si="21"/>
        <v/>
      </c>
      <c r="H174" s="111"/>
      <c r="I174" s="111"/>
      <c r="J174" s="111"/>
      <c r="K174" s="70" t="str">
        <f t="shared" si="23"/>
        <v/>
      </c>
      <c r="L174" s="36" t="str">
        <f t="shared" si="22"/>
        <v/>
      </c>
      <c r="M174" s="111"/>
      <c r="N174" s="111"/>
      <c r="O174" s="111"/>
      <c r="P174" s="111"/>
      <c r="Q174" s="111"/>
    </row>
    <row r="175" spans="1:17" x14ac:dyDescent="0.3">
      <c r="A175" s="166"/>
      <c r="B175" s="111"/>
      <c r="C175" s="111"/>
      <c r="D175" s="111"/>
      <c r="E175" s="111"/>
      <c r="F175" s="70" t="str">
        <f t="shared" si="20"/>
        <v/>
      </c>
      <c r="G175" s="70" t="str">
        <f t="shared" si="21"/>
        <v/>
      </c>
      <c r="H175" s="111"/>
      <c r="I175" s="111"/>
      <c r="J175" s="111"/>
      <c r="K175" s="70" t="str">
        <f t="shared" si="23"/>
        <v/>
      </c>
      <c r="L175" s="36" t="str">
        <f t="shared" si="22"/>
        <v/>
      </c>
      <c r="M175" s="111"/>
      <c r="N175" s="111"/>
      <c r="O175" s="111"/>
      <c r="P175" s="111"/>
      <c r="Q175" s="111"/>
    </row>
    <row r="176" spans="1:17" x14ac:dyDescent="0.3">
      <c r="A176" s="166"/>
      <c r="B176" s="111"/>
      <c r="C176" s="111"/>
      <c r="D176" s="111"/>
      <c r="E176" s="111"/>
      <c r="F176" s="70" t="str">
        <f t="shared" si="20"/>
        <v/>
      </c>
      <c r="G176" s="70" t="str">
        <f t="shared" si="21"/>
        <v/>
      </c>
      <c r="H176" s="111"/>
      <c r="I176" s="111"/>
      <c r="J176" s="111"/>
      <c r="K176" s="70" t="str">
        <f t="shared" si="23"/>
        <v/>
      </c>
      <c r="L176" s="36" t="str">
        <f t="shared" si="22"/>
        <v/>
      </c>
      <c r="M176" s="111"/>
      <c r="N176" s="111"/>
      <c r="O176" s="111"/>
      <c r="P176" s="111"/>
      <c r="Q176" s="111"/>
    </row>
    <row r="177" spans="1:17" x14ac:dyDescent="0.3">
      <c r="A177" s="166"/>
      <c r="B177" s="111"/>
      <c r="C177" s="111"/>
      <c r="D177" s="111"/>
      <c r="E177" s="111"/>
      <c r="F177" s="70" t="str">
        <f t="shared" si="20"/>
        <v/>
      </c>
      <c r="G177" s="70" t="str">
        <f t="shared" si="21"/>
        <v/>
      </c>
      <c r="H177" s="111"/>
      <c r="I177" s="111"/>
      <c r="J177" s="111"/>
      <c r="K177" s="70" t="str">
        <f t="shared" si="23"/>
        <v/>
      </c>
      <c r="L177" s="36" t="str">
        <f t="shared" si="22"/>
        <v/>
      </c>
      <c r="M177" s="111"/>
      <c r="N177" s="111"/>
      <c r="O177" s="111"/>
      <c r="P177" s="111"/>
      <c r="Q177" s="111"/>
    </row>
    <row r="178" spans="1:17" x14ac:dyDescent="0.3">
      <c r="A178" s="166"/>
      <c r="B178" s="111"/>
      <c r="C178" s="111"/>
      <c r="D178" s="111"/>
      <c r="E178" s="111"/>
      <c r="F178" s="70" t="str">
        <f t="shared" si="20"/>
        <v/>
      </c>
      <c r="G178" s="70" t="str">
        <f t="shared" si="21"/>
        <v/>
      </c>
      <c r="H178" s="111"/>
      <c r="I178" s="111"/>
      <c r="J178" s="111"/>
      <c r="K178" s="70" t="str">
        <f t="shared" si="23"/>
        <v/>
      </c>
      <c r="L178" s="36" t="str">
        <f t="shared" si="22"/>
        <v/>
      </c>
      <c r="M178" s="111"/>
      <c r="N178" s="111"/>
      <c r="O178" s="111"/>
      <c r="P178" s="111"/>
      <c r="Q178" s="111"/>
    </row>
    <row r="179" spans="1:17" x14ac:dyDescent="0.3">
      <c r="A179" s="166"/>
      <c r="B179" s="111"/>
      <c r="C179" s="111"/>
      <c r="D179" s="111"/>
      <c r="E179" s="111"/>
      <c r="F179" s="70" t="str">
        <f t="shared" si="20"/>
        <v/>
      </c>
      <c r="G179" s="70" t="str">
        <f t="shared" si="21"/>
        <v/>
      </c>
      <c r="H179" s="111"/>
      <c r="I179" s="111"/>
      <c r="J179" s="111"/>
      <c r="K179" s="70" t="str">
        <f t="shared" si="23"/>
        <v/>
      </c>
      <c r="L179" s="36" t="str">
        <f t="shared" si="22"/>
        <v/>
      </c>
      <c r="M179" s="111"/>
      <c r="N179" s="111"/>
      <c r="O179" s="111"/>
      <c r="P179" s="111"/>
      <c r="Q179" s="111"/>
    </row>
    <row r="180" spans="1:17" x14ac:dyDescent="0.3">
      <c r="A180" s="166"/>
      <c r="B180" s="111"/>
      <c r="C180" s="111"/>
      <c r="D180" s="111"/>
      <c r="E180" s="111"/>
      <c r="F180" s="70" t="str">
        <f t="shared" si="20"/>
        <v/>
      </c>
      <c r="G180" s="70" t="str">
        <f t="shared" si="21"/>
        <v/>
      </c>
      <c r="H180" s="111"/>
      <c r="I180" s="111"/>
      <c r="J180" s="111"/>
      <c r="K180" s="70" t="str">
        <f t="shared" si="23"/>
        <v/>
      </c>
      <c r="L180" s="36" t="str">
        <f t="shared" si="22"/>
        <v/>
      </c>
      <c r="M180" s="111"/>
      <c r="N180" s="111"/>
      <c r="O180" s="111"/>
      <c r="P180" s="111"/>
      <c r="Q180" s="111"/>
    </row>
    <row r="181" spans="1:17" x14ac:dyDescent="0.3">
      <c r="A181" s="166"/>
      <c r="B181" s="111"/>
      <c r="C181" s="111"/>
      <c r="D181" s="111"/>
      <c r="E181" s="111"/>
      <c r="F181" s="70" t="str">
        <f t="shared" si="20"/>
        <v/>
      </c>
      <c r="G181" s="70" t="str">
        <f t="shared" si="21"/>
        <v/>
      </c>
      <c r="H181" s="111"/>
      <c r="I181" s="111"/>
      <c r="J181" s="111"/>
      <c r="K181" s="70" t="str">
        <f t="shared" si="23"/>
        <v/>
      </c>
      <c r="L181" s="36" t="str">
        <f t="shared" si="22"/>
        <v/>
      </c>
      <c r="M181" s="111"/>
      <c r="N181" s="111"/>
      <c r="O181" s="111"/>
      <c r="P181" s="111"/>
      <c r="Q181" s="111"/>
    </row>
    <row r="182" spans="1:17" x14ac:dyDescent="0.3">
      <c r="A182" s="166"/>
      <c r="B182" s="111"/>
      <c r="C182" s="111"/>
      <c r="D182" s="111"/>
      <c r="E182" s="111"/>
      <c r="F182" s="70" t="str">
        <f t="shared" si="20"/>
        <v/>
      </c>
      <c r="G182" s="70" t="str">
        <f t="shared" si="21"/>
        <v/>
      </c>
      <c r="H182" s="111"/>
      <c r="I182" s="111"/>
      <c r="J182" s="111"/>
      <c r="K182" s="70" t="str">
        <f t="shared" si="23"/>
        <v/>
      </c>
      <c r="L182" s="36" t="str">
        <f t="shared" si="22"/>
        <v/>
      </c>
      <c r="M182" s="111"/>
      <c r="N182" s="111"/>
      <c r="O182" s="111"/>
      <c r="P182" s="111"/>
      <c r="Q182" s="111"/>
    </row>
    <row r="183" spans="1:17" x14ac:dyDescent="0.3">
      <c r="A183" s="166"/>
      <c r="B183" s="111"/>
      <c r="C183" s="111"/>
      <c r="D183" s="111"/>
      <c r="E183" s="111"/>
      <c r="F183" s="70" t="str">
        <f t="shared" si="20"/>
        <v/>
      </c>
      <c r="G183" s="70" t="str">
        <f t="shared" si="21"/>
        <v/>
      </c>
      <c r="H183" s="111"/>
      <c r="I183" s="111"/>
      <c r="J183" s="111"/>
      <c r="K183" s="70" t="str">
        <f t="shared" si="23"/>
        <v/>
      </c>
      <c r="L183" s="36" t="str">
        <f t="shared" si="22"/>
        <v/>
      </c>
      <c r="M183" s="111"/>
      <c r="N183" s="111"/>
      <c r="O183" s="111"/>
      <c r="P183" s="111"/>
      <c r="Q183" s="111"/>
    </row>
    <row r="184" spans="1:17" x14ac:dyDescent="0.3">
      <c r="A184" s="166"/>
      <c r="B184" s="111"/>
      <c r="C184" s="111"/>
      <c r="D184" s="111"/>
      <c r="E184" s="111"/>
      <c r="F184" s="70" t="str">
        <f t="shared" si="20"/>
        <v/>
      </c>
      <c r="G184" s="70" t="str">
        <f t="shared" si="21"/>
        <v/>
      </c>
      <c r="H184" s="111"/>
      <c r="I184" s="111"/>
      <c r="J184" s="111"/>
      <c r="K184" s="70" t="str">
        <f t="shared" si="23"/>
        <v/>
      </c>
      <c r="L184" s="36" t="str">
        <f t="shared" si="22"/>
        <v/>
      </c>
      <c r="M184" s="111"/>
      <c r="N184" s="111"/>
      <c r="O184" s="111"/>
      <c r="P184" s="111"/>
      <c r="Q184" s="111"/>
    </row>
    <row r="185" spans="1:17" x14ac:dyDescent="0.3">
      <c r="A185" s="166"/>
      <c r="B185" s="111"/>
      <c r="C185" s="111"/>
      <c r="D185" s="111"/>
      <c r="E185" s="111"/>
      <c r="F185" s="70" t="str">
        <f t="shared" si="20"/>
        <v/>
      </c>
      <c r="G185" s="70" t="str">
        <f t="shared" si="21"/>
        <v/>
      </c>
      <c r="H185" s="111"/>
      <c r="I185" s="111"/>
      <c r="J185" s="111"/>
      <c r="K185" s="70" t="str">
        <f t="shared" si="23"/>
        <v/>
      </c>
      <c r="L185" s="36" t="str">
        <f t="shared" si="22"/>
        <v/>
      </c>
      <c r="M185" s="111"/>
      <c r="N185" s="111"/>
      <c r="O185" s="111"/>
      <c r="P185" s="111"/>
      <c r="Q185" s="111"/>
    </row>
    <row r="186" spans="1:17" x14ac:dyDescent="0.3">
      <c r="A186" s="166"/>
      <c r="B186" s="111"/>
      <c r="C186" s="111"/>
      <c r="D186" s="111"/>
      <c r="E186" s="111"/>
      <c r="F186" s="70" t="str">
        <f t="shared" si="20"/>
        <v/>
      </c>
      <c r="G186" s="70" t="str">
        <f t="shared" si="21"/>
        <v/>
      </c>
      <c r="H186" s="111"/>
      <c r="I186" s="111"/>
      <c r="J186" s="111"/>
      <c r="K186" s="70" t="str">
        <f t="shared" si="23"/>
        <v/>
      </c>
      <c r="L186" s="36" t="str">
        <f t="shared" si="22"/>
        <v/>
      </c>
      <c r="M186" s="111"/>
      <c r="N186" s="111"/>
      <c r="O186" s="111"/>
      <c r="P186" s="111"/>
      <c r="Q186" s="111"/>
    </row>
    <row r="187" spans="1:17" x14ac:dyDescent="0.3">
      <c r="A187" s="166"/>
      <c r="B187" s="111"/>
      <c r="C187" s="111"/>
      <c r="D187" s="111"/>
      <c r="E187" s="111"/>
      <c r="F187" s="70" t="str">
        <f t="shared" si="20"/>
        <v/>
      </c>
      <c r="G187" s="70" t="str">
        <f t="shared" si="21"/>
        <v/>
      </c>
      <c r="H187" s="111"/>
      <c r="I187" s="111"/>
      <c r="J187" s="111"/>
      <c r="K187" s="70" t="str">
        <f t="shared" si="23"/>
        <v/>
      </c>
      <c r="L187" s="36" t="str">
        <f t="shared" si="22"/>
        <v/>
      </c>
      <c r="M187" s="111"/>
      <c r="N187" s="111"/>
      <c r="O187" s="111"/>
      <c r="P187" s="111"/>
      <c r="Q187" s="111"/>
    </row>
    <row r="188" spans="1:17" x14ac:dyDescent="0.3">
      <c r="A188" s="166"/>
      <c r="B188" s="111"/>
      <c r="C188" s="111"/>
      <c r="D188" s="111"/>
      <c r="E188" s="111"/>
      <c r="F188" s="70" t="str">
        <f t="shared" si="20"/>
        <v/>
      </c>
      <c r="G188" s="70" t="str">
        <f t="shared" si="21"/>
        <v/>
      </c>
      <c r="H188" s="111"/>
      <c r="I188" s="111"/>
      <c r="J188" s="111"/>
      <c r="K188" s="70" t="str">
        <f t="shared" si="23"/>
        <v/>
      </c>
      <c r="L188" s="36" t="str">
        <f t="shared" si="22"/>
        <v/>
      </c>
      <c r="M188" s="111"/>
      <c r="N188" s="111"/>
      <c r="O188" s="111"/>
      <c r="P188" s="111"/>
      <c r="Q188" s="111"/>
    </row>
    <row r="189" spans="1:17" x14ac:dyDescent="0.3">
      <c r="A189" s="166"/>
      <c r="B189" s="111"/>
      <c r="C189" s="111"/>
      <c r="D189" s="111"/>
      <c r="E189" s="111"/>
      <c r="F189" s="70" t="str">
        <f t="shared" si="20"/>
        <v/>
      </c>
      <c r="G189" s="70" t="str">
        <f t="shared" si="21"/>
        <v/>
      </c>
      <c r="H189" s="111"/>
      <c r="I189" s="111"/>
      <c r="J189" s="111"/>
      <c r="K189" s="70" t="str">
        <f t="shared" si="23"/>
        <v/>
      </c>
      <c r="L189" s="36" t="str">
        <f t="shared" si="22"/>
        <v/>
      </c>
      <c r="M189" s="111"/>
      <c r="N189" s="111"/>
      <c r="O189" s="111"/>
      <c r="P189" s="111"/>
      <c r="Q189" s="111"/>
    </row>
    <row r="190" spans="1:17" x14ac:dyDescent="0.3">
      <c r="A190" s="166"/>
      <c r="B190" s="111"/>
      <c r="C190" s="111"/>
      <c r="D190" s="111"/>
      <c r="E190" s="111"/>
      <c r="F190" s="70" t="str">
        <f t="shared" si="20"/>
        <v/>
      </c>
      <c r="G190" s="70" t="str">
        <f t="shared" si="21"/>
        <v/>
      </c>
      <c r="H190" s="111"/>
      <c r="I190" s="111"/>
      <c r="J190" s="111"/>
      <c r="K190" s="70" t="str">
        <f t="shared" si="23"/>
        <v/>
      </c>
      <c r="L190" s="36" t="str">
        <f t="shared" si="22"/>
        <v/>
      </c>
      <c r="M190" s="111"/>
      <c r="N190" s="111"/>
      <c r="O190" s="111"/>
      <c r="P190" s="111"/>
      <c r="Q190" s="111"/>
    </row>
    <row r="191" spans="1:17" x14ac:dyDescent="0.3">
      <c r="A191" s="166"/>
      <c r="B191" s="111"/>
      <c r="C191" s="111"/>
      <c r="D191" s="111"/>
      <c r="E191" s="111"/>
      <c r="F191" s="70" t="str">
        <f t="shared" si="20"/>
        <v/>
      </c>
      <c r="G191" s="70" t="str">
        <f t="shared" si="21"/>
        <v/>
      </c>
      <c r="H191" s="111"/>
      <c r="I191" s="111"/>
      <c r="J191" s="111"/>
      <c r="K191" s="70" t="str">
        <f t="shared" si="23"/>
        <v/>
      </c>
      <c r="L191" s="36" t="str">
        <f t="shared" si="22"/>
        <v/>
      </c>
      <c r="M191" s="111"/>
      <c r="N191" s="111"/>
      <c r="O191" s="111"/>
      <c r="P191" s="111"/>
      <c r="Q191" s="111"/>
    </row>
    <row r="192" spans="1:17" x14ac:dyDescent="0.3">
      <c r="A192" s="166"/>
      <c r="B192" s="111"/>
      <c r="C192" s="111"/>
      <c r="D192" s="111"/>
      <c r="E192" s="111"/>
      <c r="F192" s="70" t="str">
        <f t="shared" si="20"/>
        <v/>
      </c>
      <c r="G192" s="70" t="str">
        <f t="shared" si="21"/>
        <v/>
      </c>
      <c r="H192" s="111"/>
      <c r="I192" s="111"/>
      <c r="J192" s="111"/>
      <c r="K192" s="70" t="str">
        <f t="shared" si="23"/>
        <v/>
      </c>
      <c r="L192" s="36" t="str">
        <f t="shared" si="22"/>
        <v/>
      </c>
      <c r="M192" s="111"/>
      <c r="N192" s="111"/>
      <c r="O192" s="111"/>
      <c r="P192" s="111"/>
      <c r="Q192" s="111"/>
    </row>
    <row r="193" spans="1:17" x14ac:dyDescent="0.3">
      <c r="A193" s="166"/>
      <c r="B193" s="111"/>
      <c r="C193" s="111"/>
      <c r="D193" s="111"/>
      <c r="E193" s="111"/>
      <c r="F193" s="70" t="str">
        <f t="shared" si="20"/>
        <v/>
      </c>
      <c r="G193" s="70" t="str">
        <f t="shared" si="21"/>
        <v/>
      </c>
      <c r="H193" s="111"/>
      <c r="I193" s="111"/>
      <c r="J193" s="111"/>
      <c r="K193" s="70" t="str">
        <f t="shared" si="23"/>
        <v/>
      </c>
      <c r="L193" s="36" t="str">
        <f t="shared" si="22"/>
        <v/>
      </c>
      <c r="M193" s="111"/>
      <c r="N193" s="111"/>
      <c r="O193" s="111"/>
      <c r="P193" s="111"/>
      <c r="Q193" s="111"/>
    </row>
    <row r="194" spans="1:17" x14ac:dyDescent="0.3">
      <c r="A194" s="166"/>
      <c r="B194" s="111"/>
      <c r="C194" s="111"/>
      <c r="D194" s="111"/>
      <c r="E194" s="111"/>
      <c r="F194" s="70" t="str">
        <f t="shared" si="20"/>
        <v/>
      </c>
      <c r="G194" s="70" t="str">
        <f t="shared" si="21"/>
        <v/>
      </c>
      <c r="H194" s="111"/>
      <c r="I194" s="111"/>
      <c r="J194" s="111"/>
      <c r="K194" s="70" t="str">
        <f t="shared" si="23"/>
        <v/>
      </c>
      <c r="L194" s="36" t="str">
        <f t="shared" si="22"/>
        <v/>
      </c>
      <c r="M194" s="111"/>
      <c r="N194" s="111"/>
      <c r="O194" s="111"/>
      <c r="P194" s="111"/>
      <c r="Q194" s="111"/>
    </row>
    <row r="195" spans="1:17" x14ac:dyDescent="0.3">
      <c r="A195" s="166"/>
      <c r="B195" s="111"/>
      <c r="C195" s="111"/>
      <c r="D195" s="111"/>
      <c r="E195" s="111"/>
      <c r="F195" s="70" t="str">
        <f t="shared" si="20"/>
        <v/>
      </c>
      <c r="G195" s="70" t="str">
        <f t="shared" si="21"/>
        <v/>
      </c>
      <c r="H195" s="111"/>
      <c r="I195" s="111"/>
      <c r="J195" s="111"/>
      <c r="K195" s="70" t="str">
        <f t="shared" si="23"/>
        <v/>
      </c>
      <c r="L195" s="36" t="str">
        <f t="shared" si="22"/>
        <v/>
      </c>
      <c r="M195" s="111"/>
      <c r="N195" s="111"/>
      <c r="O195" s="111"/>
      <c r="P195" s="111"/>
      <c r="Q195" s="111"/>
    </row>
    <row r="196" spans="1:17" x14ac:dyDescent="0.3">
      <c r="A196" s="166"/>
      <c r="B196" s="111"/>
      <c r="C196" s="111"/>
      <c r="D196" s="111"/>
      <c r="E196" s="111"/>
      <c r="F196" s="70" t="str">
        <f t="shared" si="20"/>
        <v/>
      </c>
      <c r="G196" s="70" t="str">
        <f t="shared" si="21"/>
        <v/>
      </c>
      <c r="H196" s="111"/>
      <c r="I196" s="111"/>
      <c r="J196" s="111"/>
      <c r="K196" s="70" t="str">
        <f t="shared" si="23"/>
        <v/>
      </c>
      <c r="L196" s="36" t="str">
        <f t="shared" si="22"/>
        <v/>
      </c>
      <c r="M196" s="111"/>
      <c r="N196" s="111"/>
      <c r="O196" s="111"/>
      <c r="P196" s="111"/>
      <c r="Q196" s="111"/>
    </row>
    <row r="197" spans="1:17" x14ac:dyDescent="0.3">
      <c r="A197" s="166"/>
      <c r="B197" s="111"/>
      <c r="C197" s="111"/>
      <c r="D197" s="111"/>
      <c r="E197" s="111"/>
      <c r="F197" s="70" t="str">
        <f t="shared" si="20"/>
        <v/>
      </c>
      <c r="G197" s="70" t="str">
        <f t="shared" si="21"/>
        <v/>
      </c>
      <c r="H197" s="111"/>
      <c r="I197" s="111"/>
      <c r="J197" s="111"/>
      <c r="K197" s="70" t="str">
        <f t="shared" si="23"/>
        <v/>
      </c>
      <c r="L197" s="36" t="str">
        <f t="shared" si="22"/>
        <v/>
      </c>
      <c r="M197" s="111"/>
      <c r="N197" s="111"/>
      <c r="O197" s="111"/>
      <c r="P197" s="111"/>
      <c r="Q197" s="111"/>
    </row>
    <row r="198" spans="1:17" x14ac:dyDescent="0.3">
      <c r="A198" s="166"/>
      <c r="B198" s="111"/>
      <c r="C198" s="111"/>
      <c r="D198" s="111"/>
      <c r="E198" s="111"/>
      <c r="F198" s="70" t="str">
        <f t="shared" ref="F198:F229" si="24">IFERROR(INDEX($U$3:$U$23,MATCH(E198,$T$3:$T$23,0)),"")</f>
        <v/>
      </c>
      <c r="G198" s="70" t="str">
        <f t="shared" si="21"/>
        <v/>
      </c>
      <c r="H198" s="111"/>
      <c r="I198" s="111"/>
      <c r="J198" s="111"/>
      <c r="K198" s="70" t="str">
        <f t="shared" si="23"/>
        <v/>
      </c>
      <c r="L198" s="36" t="str">
        <f t="shared" si="22"/>
        <v/>
      </c>
      <c r="M198" s="111"/>
      <c r="N198" s="111"/>
      <c r="O198" s="111"/>
      <c r="P198" s="111"/>
      <c r="Q198" s="111"/>
    </row>
    <row r="199" spans="1:17" x14ac:dyDescent="0.3">
      <c r="A199" s="166"/>
      <c r="B199" s="111"/>
      <c r="C199" s="111"/>
      <c r="D199" s="111"/>
      <c r="E199" s="111"/>
      <c r="F199" s="70" t="str">
        <f t="shared" si="24"/>
        <v/>
      </c>
      <c r="G199" s="70" t="str">
        <f t="shared" si="21"/>
        <v/>
      </c>
      <c r="H199" s="111"/>
      <c r="I199" s="111"/>
      <c r="J199" s="111"/>
      <c r="K199" s="70" t="str">
        <f t="shared" ref="K199:K230" si="25">IF(COUNT(I199:J199)=0,"",I199+J199)</f>
        <v/>
      </c>
      <c r="L199" s="36" t="str">
        <f t="shared" si="22"/>
        <v/>
      </c>
      <c r="M199" s="111"/>
      <c r="N199" s="111"/>
      <c r="O199" s="111"/>
      <c r="P199" s="111"/>
      <c r="Q199" s="111"/>
    </row>
  </sheetData>
  <dataValidations count="1">
    <dataValidation type="list" allowBlank="1" errorTitle="Código no válido" error="Elegí un código de la lista." sqref="E6:E199" xr:uid="{00000000-0002-0000-1500-000000000000}">
      <formula1>$T$3:$T$23</formula1>
      <formula2>0</formula2>
    </dataValidation>
  </dataValidations>
  <hyperlinks>
    <hyperlink ref="S1" location="'0. HUB'!A1" display="◀ HUB" xr:uid="{00000000-0004-0000-1500-000000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F7F7F"/>
  </sheetPr>
  <dimension ref="A1:K2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baseColWidth="10" defaultColWidth="8.6640625" defaultRowHeight="14.4" x14ac:dyDescent="0.3"/>
  <cols>
    <col min="1" max="1" width="9.109375" bestFit="1" customWidth="1"/>
    <col min="2" max="2" width="40.77734375" customWidth="1"/>
    <col min="3" max="3" width="15" bestFit="1" customWidth="1"/>
    <col min="4" max="4" width="19.5546875" bestFit="1" customWidth="1"/>
    <col min="5" max="5" width="13.33203125" bestFit="1" customWidth="1"/>
    <col min="6" max="6" width="9.109375" bestFit="1" customWidth="1"/>
    <col min="7" max="7" width="10.6640625" bestFit="1" customWidth="1"/>
    <col min="8" max="8" width="15.109375" bestFit="1" customWidth="1"/>
    <col min="9" max="9" width="10.5546875" bestFit="1" customWidth="1"/>
    <col min="10" max="10" width="13.6640625" bestFit="1" customWidth="1"/>
    <col min="11" max="11" width="40.77734375" customWidth="1"/>
  </cols>
  <sheetData>
    <row r="1" spans="1:11" ht="63" x14ac:dyDescent="0.4">
      <c r="A1" s="2" t="s">
        <v>72</v>
      </c>
      <c r="B1" s="139" t="s">
        <v>1265</v>
      </c>
      <c r="K1" s="131"/>
    </row>
    <row r="2" spans="1:11" ht="40.200000000000003" x14ac:dyDescent="0.3">
      <c r="B2" s="47" t="s">
        <v>1266</v>
      </c>
      <c r="K2" s="131"/>
    </row>
    <row r="3" spans="1:11" x14ac:dyDescent="0.3">
      <c r="B3" s="131"/>
      <c r="K3" s="131"/>
    </row>
    <row r="4" spans="1:11" ht="26.4" x14ac:dyDescent="0.3">
      <c r="A4" s="10" t="s">
        <v>465</v>
      </c>
      <c r="B4" s="10" t="s">
        <v>466</v>
      </c>
      <c r="C4" s="10" t="s">
        <v>467</v>
      </c>
      <c r="D4" s="10" t="s">
        <v>1267</v>
      </c>
      <c r="E4" s="10" t="s">
        <v>1268</v>
      </c>
      <c r="F4" s="10" t="s">
        <v>821</v>
      </c>
      <c r="G4" s="10" t="s">
        <v>1269</v>
      </c>
      <c r="H4" s="10" t="s">
        <v>1270</v>
      </c>
      <c r="I4" s="10" t="s">
        <v>1271</v>
      </c>
      <c r="J4" s="10" t="s">
        <v>1272</v>
      </c>
      <c r="K4" s="10" t="s">
        <v>1273</v>
      </c>
    </row>
    <row r="5" spans="1:11" ht="27" x14ac:dyDescent="0.3">
      <c r="A5" s="29">
        <v>75214932</v>
      </c>
      <c r="B5" s="16" t="s">
        <v>479</v>
      </c>
      <c r="C5" s="112" t="s">
        <v>480</v>
      </c>
      <c r="D5" s="29" t="s">
        <v>1274</v>
      </c>
      <c r="E5" s="29" t="s">
        <v>1275</v>
      </c>
      <c r="F5" s="38">
        <v>61.61</v>
      </c>
      <c r="G5" s="38">
        <v>45.54</v>
      </c>
      <c r="H5" s="59">
        <v>0</v>
      </c>
      <c r="I5" s="34">
        <v>12</v>
      </c>
      <c r="J5" s="34">
        <v>102</v>
      </c>
      <c r="K5" s="58" t="s">
        <v>1276</v>
      </c>
    </row>
    <row r="6" spans="1:11" ht="27" x14ac:dyDescent="0.3">
      <c r="A6" s="29">
        <v>75253328</v>
      </c>
      <c r="B6" s="16" t="s">
        <v>483</v>
      </c>
      <c r="C6" s="112" t="s">
        <v>480</v>
      </c>
      <c r="D6" s="29" t="s">
        <v>1274</v>
      </c>
      <c r="E6" s="29" t="s">
        <v>1275</v>
      </c>
      <c r="F6" s="38">
        <v>44.42</v>
      </c>
      <c r="G6" s="38">
        <v>32.85</v>
      </c>
      <c r="H6" s="59">
        <v>0</v>
      </c>
      <c r="I6" s="34">
        <v>20</v>
      </c>
      <c r="J6" s="34">
        <v>96</v>
      </c>
      <c r="K6" s="58" t="s">
        <v>1277</v>
      </c>
    </row>
    <row r="7" spans="1:11" x14ac:dyDescent="0.3">
      <c r="A7" s="29">
        <v>75214931</v>
      </c>
      <c r="B7" s="16" t="s">
        <v>472</v>
      </c>
      <c r="C7" s="112" t="s">
        <v>480</v>
      </c>
      <c r="D7" s="29" t="s">
        <v>1274</v>
      </c>
      <c r="E7" s="29" t="s">
        <v>1278</v>
      </c>
      <c r="F7" s="38">
        <v>66.069999999999993</v>
      </c>
      <c r="G7" s="38">
        <v>45.54</v>
      </c>
      <c r="H7" s="59">
        <v>0</v>
      </c>
      <c r="I7" s="34">
        <v>12</v>
      </c>
      <c r="J7" s="70"/>
      <c r="K7" s="58" t="s">
        <v>1279</v>
      </c>
    </row>
    <row r="8" spans="1:11" x14ac:dyDescent="0.3">
      <c r="A8" s="29">
        <v>75244435</v>
      </c>
      <c r="B8" s="16" t="s">
        <v>488</v>
      </c>
      <c r="C8" s="112" t="s">
        <v>480</v>
      </c>
      <c r="D8" s="29" t="s">
        <v>1274</v>
      </c>
      <c r="E8" s="29" t="s">
        <v>1275</v>
      </c>
      <c r="F8" s="38">
        <v>44.64</v>
      </c>
      <c r="G8" s="38">
        <v>32.85</v>
      </c>
      <c r="H8" s="59">
        <v>0</v>
      </c>
      <c r="I8" s="34">
        <v>20</v>
      </c>
      <c r="J8" s="34">
        <v>96</v>
      </c>
      <c r="K8" s="58" t="s">
        <v>1280</v>
      </c>
    </row>
    <row r="9" spans="1:11" x14ac:dyDescent="0.3">
      <c r="A9" s="29">
        <v>75253329</v>
      </c>
      <c r="B9" s="16" t="s">
        <v>482</v>
      </c>
      <c r="C9" s="112" t="s">
        <v>480</v>
      </c>
      <c r="D9" s="29" t="s">
        <v>1274</v>
      </c>
      <c r="E9" s="29" t="s">
        <v>1275</v>
      </c>
      <c r="F9" s="38">
        <v>29.91</v>
      </c>
      <c r="G9" s="38">
        <v>22</v>
      </c>
      <c r="H9" s="59">
        <v>0</v>
      </c>
      <c r="I9" s="34">
        <v>20</v>
      </c>
      <c r="J9" s="34">
        <v>45</v>
      </c>
      <c r="K9" s="58" t="s">
        <v>1281</v>
      </c>
    </row>
    <row r="10" spans="1:11" x14ac:dyDescent="0.3">
      <c r="A10" s="29">
        <v>75244431</v>
      </c>
      <c r="B10" s="16" t="s">
        <v>489</v>
      </c>
      <c r="C10" s="112" t="s">
        <v>480</v>
      </c>
      <c r="D10" s="29" t="s">
        <v>1274</v>
      </c>
      <c r="E10" s="29" t="s">
        <v>1275</v>
      </c>
      <c r="F10" s="38">
        <v>44.64</v>
      </c>
      <c r="G10" s="38">
        <v>32.85</v>
      </c>
      <c r="H10" s="59">
        <v>0</v>
      </c>
      <c r="I10" s="34">
        <v>20</v>
      </c>
      <c r="J10" s="34">
        <v>96</v>
      </c>
      <c r="K10" s="58" t="s">
        <v>1282</v>
      </c>
    </row>
    <row r="11" spans="1:11" x14ac:dyDescent="0.3">
      <c r="A11" s="29">
        <v>75244433</v>
      </c>
      <c r="B11" s="16" t="s">
        <v>491</v>
      </c>
      <c r="C11" s="112" t="s">
        <v>480</v>
      </c>
      <c r="D11" s="29" t="s">
        <v>1274</v>
      </c>
      <c r="E11" s="29" t="s">
        <v>1275</v>
      </c>
      <c r="F11" s="38">
        <v>44.64</v>
      </c>
      <c r="G11" s="38">
        <v>32.85</v>
      </c>
      <c r="H11" s="59">
        <v>0</v>
      </c>
      <c r="I11" s="34">
        <v>20</v>
      </c>
      <c r="J11" s="70"/>
      <c r="K11" s="58" t="s">
        <v>1280</v>
      </c>
    </row>
    <row r="12" spans="1:11" x14ac:dyDescent="0.3">
      <c r="A12" s="29">
        <v>75244436</v>
      </c>
      <c r="B12" s="16" t="s">
        <v>490</v>
      </c>
      <c r="C12" s="112" t="s">
        <v>480</v>
      </c>
      <c r="D12" s="29" t="s">
        <v>1274</v>
      </c>
      <c r="E12" s="29" t="s">
        <v>1275</v>
      </c>
      <c r="F12" s="38">
        <v>44.64</v>
      </c>
      <c r="G12" s="38">
        <v>32.85</v>
      </c>
      <c r="H12" s="59">
        <v>0</v>
      </c>
      <c r="I12" s="34">
        <v>20</v>
      </c>
      <c r="J12" s="70"/>
      <c r="K12" s="58" t="s">
        <v>1283</v>
      </c>
    </row>
    <row r="13" spans="1:11" ht="27" x14ac:dyDescent="0.3">
      <c r="A13" s="29">
        <v>75437621</v>
      </c>
      <c r="B13" s="16" t="s">
        <v>668</v>
      </c>
      <c r="C13" s="17" t="s">
        <v>470</v>
      </c>
      <c r="D13" s="29" t="s">
        <v>1284</v>
      </c>
      <c r="E13" s="29" t="s">
        <v>1275</v>
      </c>
      <c r="F13" s="38">
        <v>23.66</v>
      </c>
      <c r="G13" s="38">
        <v>18.25</v>
      </c>
      <c r="H13" s="34">
        <v>645</v>
      </c>
      <c r="I13" s="34">
        <v>20</v>
      </c>
      <c r="J13" s="34">
        <v>144</v>
      </c>
      <c r="K13" s="58" t="s">
        <v>1285</v>
      </c>
    </row>
    <row r="14" spans="1:11" ht="40.200000000000003" x14ac:dyDescent="0.3">
      <c r="A14" s="29">
        <v>75437623</v>
      </c>
      <c r="B14" s="16" t="s">
        <v>672</v>
      </c>
      <c r="C14" s="17" t="s">
        <v>470</v>
      </c>
      <c r="D14" s="29" t="s">
        <v>1286</v>
      </c>
      <c r="E14" s="29" t="s">
        <v>1275</v>
      </c>
      <c r="F14" s="38">
        <v>42.63</v>
      </c>
      <c r="G14" s="38">
        <v>32.85</v>
      </c>
      <c r="H14" s="34">
        <v>624</v>
      </c>
      <c r="I14" s="34">
        <v>20</v>
      </c>
      <c r="J14" s="34">
        <v>72</v>
      </c>
      <c r="K14" s="58" t="s">
        <v>1287</v>
      </c>
    </row>
    <row r="15" spans="1:11" ht="27" x14ac:dyDescent="0.3">
      <c r="A15" s="29">
        <v>75214930</v>
      </c>
      <c r="B15" s="16" t="s">
        <v>654</v>
      </c>
      <c r="C15" s="17" t="s">
        <v>470</v>
      </c>
      <c r="D15" s="29" t="s">
        <v>1288</v>
      </c>
      <c r="E15" s="29" t="s">
        <v>1275</v>
      </c>
      <c r="F15" s="38">
        <v>61.61</v>
      </c>
      <c r="G15" s="38">
        <v>45.54</v>
      </c>
      <c r="H15" s="34">
        <v>896</v>
      </c>
      <c r="I15" s="34">
        <v>12</v>
      </c>
      <c r="J15" s="34">
        <v>102</v>
      </c>
      <c r="K15" s="58" t="s">
        <v>1289</v>
      </c>
    </row>
    <row r="16" spans="1:11" ht="27" x14ac:dyDescent="0.3">
      <c r="A16" s="29">
        <v>75437610</v>
      </c>
      <c r="B16" s="16" t="s">
        <v>658</v>
      </c>
      <c r="C16" s="17" t="s">
        <v>470</v>
      </c>
      <c r="D16" s="29" t="s">
        <v>1290</v>
      </c>
      <c r="E16" s="29" t="s">
        <v>1275</v>
      </c>
      <c r="F16" s="38">
        <v>66.069999999999993</v>
      </c>
      <c r="G16" s="38">
        <v>51</v>
      </c>
      <c r="H16" s="34">
        <v>752</v>
      </c>
      <c r="I16" s="34">
        <v>20</v>
      </c>
      <c r="J16" s="34">
        <v>90</v>
      </c>
      <c r="K16" s="58" t="s">
        <v>1291</v>
      </c>
    </row>
    <row r="17" spans="1:11" ht="27" x14ac:dyDescent="0.3">
      <c r="A17" s="29">
        <v>75437614</v>
      </c>
      <c r="B17" s="16" t="s">
        <v>661</v>
      </c>
      <c r="C17" s="17" t="s">
        <v>470</v>
      </c>
      <c r="D17" s="29" t="s">
        <v>1292</v>
      </c>
      <c r="E17" s="29" t="s">
        <v>1275</v>
      </c>
      <c r="F17" s="38">
        <v>28.57</v>
      </c>
      <c r="G17" s="38">
        <v>22</v>
      </c>
      <c r="H17" s="34">
        <v>690</v>
      </c>
      <c r="I17" s="34">
        <v>20</v>
      </c>
      <c r="J17" s="34">
        <v>45</v>
      </c>
      <c r="K17" s="58" t="s">
        <v>1293</v>
      </c>
    </row>
    <row r="18" spans="1:11" ht="27" x14ac:dyDescent="0.3">
      <c r="A18" s="29">
        <v>75437616</v>
      </c>
      <c r="B18" s="16" t="s">
        <v>665</v>
      </c>
      <c r="C18" s="17" t="s">
        <v>470</v>
      </c>
      <c r="D18" s="29" t="s">
        <v>1292</v>
      </c>
      <c r="E18" s="29" t="s">
        <v>1275</v>
      </c>
      <c r="F18" s="38">
        <v>28.57</v>
      </c>
      <c r="G18" s="38">
        <v>22</v>
      </c>
      <c r="H18" s="34">
        <v>561</v>
      </c>
      <c r="I18" s="34">
        <v>20</v>
      </c>
      <c r="J18" s="34">
        <v>45</v>
      </c>
      <c r="K18" s="58" t="s">
        <v>1294</v>
      </c>
    </row>
    <row r="19" spans="1:11" ht="40.200000000000003" x14ac:dyDescent="0.3">
      <c r="A19" s="29">
        <v>75437615</v>
      </c>
      <c r="B19" s="16" t="s">
        <v>681</v>
      </c>
      <c r="C19" s="18" t="s">
        <v>477</v>
      </c>
      <c r="D19" s="29" t="s">
        <v>1274</v>
      </c>
      <c r="E19" s="29" t="s">
        <v>995</v>
      </c>
      <c r="F19" s="38">
        <v>20.76</v>
      </c>
      <c r="G19" s="38">
        <v>16</v>
      </c>
      <c r="H19" s="59">
        <v>0</v>
      </c>
      <c r="I19" s="34">
        <v>20</v>
      </c>
      <c r="J19" s="34">
        <v>144</v>
      </c>
      <c r="K19" s="58" t="s">
        <v>1295</v>
      </c>
    </row>
    <row r="20" spans="1:11" x14ac:dyDescent="0.3">
      <c r="A20" s="29">
        <v>75437613</v>
      </c>
      <c r="B20" s="16" t="s">
        <v>678</v>
      </c>
      <c r="C20" s="18" t="s">
        <v>477</v>
      </c>
      <c r="D20" s="29" t="s">
        <v>1274</v>
      </c>
      <c r="E20" s="51" t="s">
        <v>996</v>
      </c>
      <c r="F20" s="38">
        <v>56.7</v>
      </c>
      <c r="G20" s="38">
        <v>43.8</v>
      </c>
      <c r="H20" s="59">
        <v>0</v>
      </c>
      <c r="I20" s="34">
        <v>20</v>
      </c>
      <c r="J20" s="34">
        <v>144</v>
      </c>
      <c r="K20" s="58" t="s">
        <v>1296</v>
      </c>
    </row>
    <row r="21" spans="1:11" x14ac:dyDescent="0.3">
      <c r="A21" s="29">
        <v>75437612</v>
      </c>
      <c r="B21" s="16" t="s">
        <v>675</v>
      </c>
      <c r="C21" s="18" t="s">
        <v>477</v>
      </c>
      <c r="D21" s="29" t="s">
        <v>1274</v>
      </c>
      <c r="E21" s="51" t="s">
        <v>996</v>
      </c>
      <c r="F21" s="38">
        <v>56.7</v>
      </c>
      <c r="G21" s="38">
        <v>43.8</v>
      </c>
      <c r="H21" s="59">
        <v>0</v>
      </c>
      <c r="I21" s="34">
        <v>20</v>
      </c>
      <c r="J21" s="34">
        <v>144</v>
      </c>
      <c r="K21" s="58" t="s">
        <v>1297</v>
      </c>
    </row>
    <row r="22" spans="1:11" ht="27" x14ac:dyDescent="0.3">
      <c r="A22" s="29">
        <v>75437619</v>
      </c>
      <c r="B22" s="16" t="s">
        <v>690</v>
      </c>
      <c r="C22" s="18" t="s">
        <v>477</v>
      </c>
      <c r="D22" s="29" t="s">
        <v>1274</v>
      </c>
      <c r="E22" s="51" t="s">
        <v>996</v>
      </c>
      <c r="F22" s="38">
        <v>23.66</v>
      </c>
      <c r="G22" s="38">
        <v>18.25</v>
      </c>
      <c r="H22" s="59">
        <v>0</v>
      </c>
      <c r="I22" s="34">
        <v>20</v>
      </c>
      <c r="J22" s="34">
        <v>144</v>
      </c>
      <c r="K22" s="58" t="s">
        <v>1298</v>
      </c>
    </row>
    <row r="23" spans="1:11" x14ac:dyDescent="0.3">
      <c r="A23" s="29">
        <v>75437617</v>
      </c>
      <c r="B23" s="16" t="s">
        <v>684</v>
      </c>
      <c r="C23" s="18" t="s">
        <v>477</v>
      </c>
      <c r="D23" s="29" t="s">
        <v>1274</v>
      </c>
      <c r="E23" s="51" t="s">
        <v>996</v>
      </c>
      <c r="F23" s="38">
        <v>20.76</v>
      </c>
      <c r="G23" s="38">
        <v>16</v>
      </c>
      <c r="H23" s="59">
        <v>0</v>
      </c>
      <c r="I23" s="34">
        <v>20</v>
      </c>
      <c r="J23" s="34">
        <v>144</v>
      </c>
      <c r="K23" s="58" t="s">
        <v>1299</v>
      </c>
    </row>
    <row r="24" spans="1:11" x14ac:dyDescent="0.3">
      <c r="A24" s="29">
        <v>75437618</v>
      </c>
      <c r="B24" s="16" t="s">
        <v>687</v>
      </c>
      <c r="C24" s="18" t="s">
        <v>477</v>
      </c>
      <c r="D24" s="29" t="s">
        <v>1274</v>
      </c>
      <c r="E24" s="51" t="s">
        <v>996</v>
      </c>
      <c r="F24" s="38">
        <v>23.66</v>
      </c>
      <c r="G24" s="38">
        <v>18.25</v>
      </c>
      <c r="H24" s="59">
        <v>0</v>
      </c>
      <c r="I24" s="34">
        <v>20</v>
      </c>
      <c r="J24" s="34">
        <v>144</v>
      </c>
      <c r="K24" s="58" t="s">
        <v>1300</v>
      </c>
    </row>
    <row r="25" spans="1:11" x14ac:dyDescent="0.3">
      <c r="A25" s="29">
        <v>75437620</v>
      </c>
      <c r="B25" s="16" t="s">
        <v>693</v>
      </c>
      <c r="C25" s="18" t="s">
        <v>477</v>
      </c>
      <c r="D25" s="29" t="s">
        <v>1274</v>
      </c>
      <c r="E25" s="51" t="s">
        <v>996</v>
      </c>
      <c r="F25" s="38">
        <v>23.66</v>
      </c>
      <c r="G25" s="38">
        <v>18.25</v>
      </c>
      <c r="H25" s="59">
        <v>0</v>
      </c>
      <c r="I25" s="34">
        <v>20</v>
      </c>
      <c r="J25" s="34">
        <v>144</v>
      </c>
      <c r="K25" s="58" t="s">
        <v>1301</v>
      </c>
    </row>
    <row r="26" spans="1:11" x14ac:dyDescent="0.3">
      <c r="B26" s="131"/>
      <c r="K26" s="131"/>
    </row>
    <row r="27" spans="1:11" x14ac:dyDescent="0.3">
      <c r="A27" s="128" t="s">
        <v>1302</v>
      </c>
      <c r="B27" s="128"/>
      <c r="C27" s="128"/>
      <c r="D27" s="128"/>
      <c r="E27" s="128"/>
      <c r="F27" s="128"/>
      <c r="G27" s="128"/>
      <c r="H27" s="128"/>
      <c r="I27" s="128"/>
      <c r="J27" s="128"/>
      <c r="K27" s="128"/>
    </row>
  </sheetData>
  <autoFilter ref="A4:K25" xr:uid="{00000000-0009-0000-0000-000016000000}"/>
  <mergeCells count="1">
    <mergeCell ref="A27:K27"/>
  </mergeCells>
  <hyperlinks>
    <hyperlink ref="A1" location="'0. HUB'!A1" display="◀ HUB" xr:uid="{00000000-0004-0000-1600-000000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F7F7F"/>
  </sheetPr>
  <dimension ref="A1:I43"/>
  <sheetViews>
    <sheetView showGridLines="0" zoomScaleNormal="100" workbookViewId="0">
      <selection activeCell="B12" sqref="B12:K12"/>
    </sheetView>
  </sheetViews>
  <sheetFormatPr baseColWidth="10" defaultColWidth="8.6640625" defaultRowHeight="14.4" x14ac:dyDescent="0.3"/>
  <cols>
    <col min="1" max="1" width="7.21875" bestFit="1" customWidth="1"/>
    <col min="2" max="2" width="40.77734375" customWidth="1"/>
    <col min="3" max="3" width="6.6640625" bestFit="1" customWidth="1"/>
    <col min="4" max="4" width="14.77734375" bestFit="1" customWidth="1"/>
    <col min="5" max="5" width="40.77734375" customWidth="1"/>
    <col min="6" max="6" width="16.33203125" bestFit="1" customWidth="1"/>
    <col min="7" max="7" width="9" bestFit="1" customWidth="1"/>
    <col min="8" max="8" width="11.6640625" bestFit="1" customWidth="1"/>
    <col min="9" max="9" width="34.33203125" bestFit="1" customWidth="1"/>
  </cols>
  <sheetData>
    <row r="1" spans="1:9" x14ac:dyDescent="0.3">
      <c r="A1" s="42" t="s">
        <v>72</v>
      </c>
      <c r="B1" s="131"/>
      <c r="E1" s="131"/>
      <c r="H1" s="109">
        <v>8785.42</v>
      </c>
      <c r="I1" s="8" t="s">
        <v>1303</v>
      </c>
    </row>
    <row r="2" spans="1:9" ht="52.2" x14ac:dyDescent="0.3">
      <c r="B2" s="146" t="s">
        <v>1304</v>
      </c>
      <c r="E2" s="131"/>
      <c r="H2" s="109">
        <v>21855</v>
      </c>
      <c r="I2" s="8" t="s">
        <v>1305</v>
      </c>
    </row>
    <row r="3" spans="1:9" ht="66.599999999999994" x14ac:dyDescent="0.3">
      <c r="B3" s="47" t="s">
        <v>1306</v>
      </c>
      <c r="E3" s="131"/>
    </row>
    <row r="4" spans="1:9" ht="66.599999999999994" x14ac:dyDescent="0.3">
      <c r="B4" s="47" t="s">
        <v>1307</v>
      </c>
      <c r="E4" s="131"/>
    </row>
    <row r="5" spans="1:9" ht="27" x14ac:dyDescent="0.3">
      <c r="B5" s="47" t="s">
        <v>1308</v>
      </c>
      <c r="E5" s="131"/>
    </row>
    <row r="6" spans="1:9" x14ac:dyDescent="0.3">
      <c r="B6" s="131"/>
      <c r="E6" s="131"/>
    </row>
    <row r="7" spans="1:9" x14ac:dyDescent="0.3">
      <c r="B7" s="68" t="s">
        <v>1005</v>
      </c>
      <c r="E7" s="131"/>
    </row>
    <row r="8" spans="1:9" x14ac:dyDescent="0.3">
      <c r="B8" s="155" t="s">
        <v>1309</v>
      </c>
      <c r="D8" s="88">
        <v>16</v>
      </c>
      <c r="E8" s="47" t="s">
        <v>1310</v>
      </c>
    </row>
    <row r="9" spans="1:9" ht="27" x14ac:dyDescent="0.3">
      <c r="B9" s="155" t="s">
        <v>1311</v>
      </c>
      <c r="D9" s="113">
        <v>0.7</v>
      </c>
      <c r="E9" s="47" t="s">
        <v>1312</v>
      </c>
    </row>
    <row r="10" spans="1:9" x14ac:dyDescent="0.3">
      <c r="B10" s="155" t="s">
        <v>1313</v>
      </c>
      <c r="D10" s="113">
        <v>0.3</v>
      </c>
      <c r="E10" s="47" t="s">
        <v>1314</v>
      </c>
    </row>
    <row r="11" spans="1:9" x14ac:dyDescent="0.3">
      <c r="B11" s="155" t="s">
        <v>1315</v>
      </c>
      <c r="D11" s="88">
        <v>2</v>
      </c>
      <c r="E11" s="47" t="s">
        <v>1316</v>
      </c>
    </row>
    <row r="12" spans="1:9" x14ac:dyDescent="0.3">
      <c r="B12" s="131"/>
      <c r="E12" s="131"/>
    </row>
    <row r="13" spans="1:9" x14ac:dyDescent="0.3">
      <c r="B13" s="68" t="s">
        <v>1317</v>
      </c>
      <c r="E13" s="131"/>
    </row>
    <row r="14" spans="1:9" ht="27" x14ac:dyDescent="0.3">
      <c r="B14" s="69" t="s">
        <v>467</v>
      </c>
      <c r="C14" s="69" t="s">
        <v>1318</v>
      </c>
      <c r="D14" s="69" t="s">
        <v>1319</v>
      </c>
      <c r="E14" s="69" t="s">
        <v>985</v>
      </c>
      <c r="F14" s="69" t="s">
        <v>1320</v>
      </c>
      <c r="G14" s="69" t="s">
        <v>1321</v>
      </c>
      <c r="H14" s="69" t="s">
        <v>1322</v>
      </c>
      <c r="I14" s="69" t="s">
        <v>1323</v>
      </c>
    </row>
    <row r="15" spans="1:9" x14ac:dyDescent="0.3">
      <c r="B15" s="140" t="s">
        <v>470</v>
      </c>
      <c r="C15" s="43">
        <v>6</v>
      </c>
      <c r="D15" s="114">
        <v>240</v>
      </c>
      <c r="E15" s="169">
        <v>6911</v>
      </c>
      <c r="F15" s="115">
        <v>188296.46</v>
      </c>
      <c r="G15" s="115">
        <v>7184.99</v>
      </c>
      <c r="H15" s="115">
        <v>16049</v>
      </c>
      <c r="I15" s="43" t="s">
        <v>1324</v>
      </c>
    </row>
    <row r="16" spans="1:9" x14ac:dyDescent="0.3">
      <c r="B16" s="141" t="s">
        <v>477</v>
      </c>
      <c r="C16" s="44">
        <v>7</v>
      </c>
      <c r="D16" s="116">
        <v>113</v>
      </c>
      <c r="E16" s="170">
        <v>1535</v>
      </c>
      <c r="F16" s="117">
        <v>49234.25</v>
      </c>
      <c r="G16" s="117">
        <v>1600.43</v>
      </c>
      <c r="H16" s="117">
        <v>5806</v>
      </c>
      <c r="I16" s="44" t="s">
        <v>1325</v>
      </c>
    </row>
    <row r="17" spans="2:9" x14ac:dyDescent="0.3">
      <c r="B17" s="163" t="s">
        <v>480</v>
      </c>
      <c r="C17" s="45">
        <v>8</v>
      </c>
      <c r="D17" s="118">
        <v>90</v>
      </c>
      <c r="E17" s="171">
        <v>1252</v>
      </c>
      <c r="F17" s="119">
        <v>42175.11</v>
      </c>
      <c r="G17" s="119">
        <v>1539.63</v>
      </c>
      <c r="H17" s="119">
        <v>8154</v>
      </c>
      <c r="I17" s="45" t="s">
        <v>1326</v>
      </c>
    </row>
    <row r="18" spans="2:9" x14ac:dyDescent="0.3">
      <c r="B18" s="68" t="s">
        <v>492</v>
      </c>
      <c r="D18" s="49">
        <f t="shared" ref="D18:I18" si="0">SUM(C15:C17)</f>
        <v>21</v>
      </c>
      <c r="E18" s="172">
        <f t="shared" si="0"/>
        <v>443</v>
      </c>
      <c r="F18" s="46">
        <f t="shared" si="0"/>
        <v>9698</v>
      </c>
      <c r="G18" s="46">
        <f t="shared" si="0"/>
        <v>279705.82</v>
      </c>
      <c r="H18" s="46">
        <f t="shared" si="0"/>
        <v>10325.049999999999</v>
      </c>
      <c r="I18" s="49">
        <f t="shared" si="0"/>
        <v>30009</v>
      </c>
    </row>
    <row r="19" spans="2:9" x14ac:dyDescent="0.3">
      <c r="B19" s="131"/>
      <c r="E19" s="131"/>
    </row>
    <row r="20" spans="2:9" x14ac:dyDescent="0.3">
      <c r="B20" s="68" t="s">
        <v>1327</v>
      </c>
      <c r="E20" s="131"/>
    </row>
    <row r="21" spans="2:9" ht="27" x14ac:dyDescent="0.3">
      <c r="B21" s="155" t="s">
        <v>1328</v>
      </c>
      <c r="D21" s="91">
        <v>443</v>
      </c>
      <c r="E21" s="47" t="s">
        <v>1329</v>
      </c>
    </row>
    <row r="22" spans="2:9" x14ac:dyDescent="0.3">
      <c r="B22" s="155" t="s">
        <v>1330</v>
      </c>
      <c r="D22" s="91">
        <v>40</v>
      </c>
      <c r="E22" s="47"/>
    </row>
    <row r="23" spans="2:9" ht="27" x14ac:dyDescent="0.3">
      <c r="B23" s="155" t="s">
        <v>1331</v>
      </c>
      <c r="D23" s="120">
        <v>0.90067720090293502</v>
      </c>
      <c r="E23" s="47" t="s">
        <v>1332</v>
      </c>
    </row>
    <row r="24" spans="2:9" ht="27" x14ac:dyDescent="0.3">
      <c r="B24" s="155" t="s">
        <v>1333</v>
      </c>
      <c r="D24" s="120">
        <v>0.26410835214446998</v>
      </c>
      <c r="E24" s="47" t="s">
        <v>1334</v>
      </c>
    </row>
    <row r="25" spans="2:9" x14ac:dyDescent="0.3">
      <c r="B25" s="155" t="s">
        <v>1335</v>
      </c>
      <c r="D25" s="98">
        <v>295</v>
      </c>
      <c r="E25" s="47" t="s">
        <v>1336</v>
      </c>
    </row>
    <row r="26" spans="2:9" x14ac:dyDescent="0.3">
      <c r="B26" s="155" t="s">
        <v>1337</v>
      </c>
      <c r="D26" s="91">
        <v>6512</v>
      </c>
      <c r="E26" s="47"/>
    </row>
    <row r="27" spans="2:9" ht="27" x14ac:dyDescent="0.3">
      <c r="B27" s="155" t="s">
        <v>1338</v>
      </c>
      <c r="D27" s="121">
        <v>21855</v>
      </c>
      <c r="E27" s="47" t="s">
        <v>1339</v>
      </c>
    </row>
    <row r="28" spans="2:9" x14ac:dyDescent="0.3">
      <c r="B28" s="155" t="s">
        <v>1340</v>
      </c>
      <c r="D28" s="121">
        <v>8154</v>
      </c>
      <c r="E28" s="47" t="s">
        <v>1341</v>
      </c>
    </row>
    <row r="29" spans="2:9" ht="27" x14ac:dyDescent="0.3">
      <c r="B29" s="155" t="s">
        <v>1342</v>
      </c>
      <c r="D29" s="121">
        <v>1539.63</v>
      </c>
      <c r="E29" s="47" t="s">
        <v>1343</v>
      </c>
    </row>
    <row r="30" spans="2:9" ht="27" x14ac:dyDescent="0.3">
      <c r="B30" s="155" t="s">
        <v>1344</v>
      </c>
      <c r="D30" s="98">
        <v>90</v>
      </c>
      <c r="E30" s="47" t="s">
        <v>1345</v>
      </c>
    </row>
    <row r="31" spans="2:9" x14ac:dyDescent="0.3">
      <c r="B31" s="155" t="s">
        <v>1346</v>
      </c>
      <c r="D31" s="98">
        <v>1252</v>
      </c>
      <c r="E31" s="47"/>
    </row>
    <row r="32" spans="2:9" x14ac:dyDescent="0.3">
      <c r="B32" s="155" t="s">
        <v>1347</v>
      </c>
      <c r="D32" s="121">
        <v>42175.11</v>
      </c>
      <c r="E32" s="47" t="s">
        <v>1348</v>
      </c>
    </row>
    <row r="33" spans="2:6" ht="27" x14ac:dyDescent="0.3">
      <c r="B33" s="155" t="s">
        <v>1349</v>
      </c>
      <c r="D33" s="91">
        <v>148</v>
      </c>
      <c r="E33" s="47" t="s">
        <v>1350</v>
      </c>
    </row>
    <row r="34" spans="2:6" x14ac:dyDescent="0.3">
      <c r="B34" s="155" t="s">
        <v>1351</v>
      </c>
      <c r="D34" s="91">
        <v>360</v>
      </c>
      <c r="E34" s="47"/>
    </row>
    <row r="35" spans="2:6" x14ac:dyDescent="0.3">
      <c r="B35" s="131"/>
      <c r="E35" s="131"/>
    </row>
    <row r="36" spans="2:6" ht="27" x14ac:dyDescent="0.3">
      <c r="B36" s="68" t="s">
        <v>1352</v>
      </c>
      <c r="E36" s="131"/>
    </row>
    <row r="37" spans="2:6" x14ac:dyDescent="0.3">
      <c r="B37" s="151" t="s">
        <v>1353</v>
      </c>
      <c r="C37" s="67" t="s">
        <v>1354</v>
      </c>
      <c r="D37" s="67" t="s">
        <v>1355</v>
      </c>
      <c r="E37" s="151" t="s">
        <v>1356</v>
      </c>
      <c r="F37" s="67" t="s">
        <v>1357</v>
      </c>
    </row>
    <row r="38" spans="2:6" x14ac:dyDescent="0.3">
      <c r="B38" s="16" t="s">
        <v>1358</v>
      </c>
      <c r="C38" s="36">
        <v>0</v>
      </c>
      <c r="D38" s="30">
        <f>$H$1+$H$2*C38</f>
        <v>8785.42</v>
      </c>
      <c r="E38" s="142">
        <f>D38*4.33</f>
        <v>38040.868600000002</v>
      </c>
      <c r="F38" s="30">
        <f>D38*$D$8</f>
        <v>140566.72</v>
      </c>
    </row>
    <row r="39" spans="2:6" x14ac:dyDescent="0.3">
      <c r="B39" s="16" t="s">
        <v>1359</v>
      </c>
      <c r="C39" s="36">
        <f>$D$9*0.7</f>
        <v>0.48999999999999994</v>
      </c>
      <c r="D39" s="30">
        <f>$H$1+$H$2*C39</f>
        <v>19494.37</v>
      </c>
      <c r="E39" s="142">
        <f>D39*4.33</f>
        <v>84410.622099999993</v>
      </c>
      <c r="F39" s="30">
        <f>D39*$D$8</f>
        <v>311909.92</v>
      </c>
    </row>
    <row r="40" spans="2:6" x14ac:dyDescent="0.3">
      <c r="B40" s="104" t="s">
        <v>1360</v>
      </c>
      <c r="C40" s="37">
        <f>$D$9</f>
        <v>0.7</v>
      </c>
      <c r="D40" s="31">
        <f>$H$1+$H$2*C40</f>
        <v>24083.919999999998</v>
      </c>
      <c r="E40" s="173">
        <f>D40*4.33</f>
        <v>104283.37359999999</v>
      </c>
      <c r="F40" s="31">
        <f>D40*$D$8</f>
        <v>385342.71999999997</v>
      </c>
    </row>
    <row r="41" spans="2:6" x14ac:dyDescent="0.3">
      <c r="B41" s="16" t="s">
        <v>1361</v>
      </c>
      <c r="C41" s="36">
        <f>$D$9*(1+$D$10)</f>
        <v>0.90999999999999992</v>
      </c>
      <c r="D41" s="30">
        <f>$H$1+$H$2*C41</f>
        <v>28673.47</v>
      </c>
      <c r="E41" s="142">
        <f>D41*4.33</f>
        <v>124156.1251</v>
      </c>
      <c r="F41" s="30">
        <f>D41*$D$8</f>
        <v>458775.52</v>
      </c>
    </row>
    <row r="42" spans="2:6" x14ac:dyDescent="0.3">
      <c r="B42" s="131"/>
      <c r="E42" s="131"/>
    </row>
    <row r="43" spans="2:6" ht="119.4" x14ac:dyDescent="0.3">
      <c r="B43" s="47" t="s">
        <v>1362</v>
      </c>
      <c r="E43" s="131"/>
    </row>
  </sheetData>
  <hyperlinks>
    <hyperlink ref="A1" location="'0. HUB'!A1" display="◀ HUB" xr:uid="{00000000-0004-0000-1700-000000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F7F7F"/>
  </sheetPr>
  <dimension ref="A1:P446"/>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baseColWidth="10" defaultColWidth="8.6640625" defaultRowHeight="14.4" x14ac:dyDescent="0.3"/>
  <cols>
    <col min="1" max="1" width="40.77734375" customWidth="1"/>
    <col min="2" max="2" width="30.109375" bestFit="1" customWidth="1"/>
    <col min="3" max="3" width="9.109375" bestFit="1" customWidth="1"/>
    <col min="4" max="4" width="23.21875" bestFit="1" customWidth="1"/>
    <col min="5" max="5" width="14.33203125" bestFit="1" customWidth="1"/>
    <col min="6" max="6" width="11" customWidth="1"/>
    <col min="7" max="7" width="17.33203125" bestFit="1" customWidth="1"/>
    <col min="8" max="9" width="15.6640625" bestFit="1" customWidth="1"/>
    <col min="10" max="10" width="12.6640625" bestFit="1" customWidth="1"/>
    <col min="11" max="11" width="12" bestFit="1" customWidth="1"/>
    <col min="12" max="12" width="11.88671875" bestFit="1" customWidth="1"/>
    <col min="13" max="13" width="10.6640625" bestFit="1" customWidth="1"/>
    <col min="14" max="14" width="11" bestFit="1" customWidth="1"/>
    <col min="15" max="15" width="15.88671875" bestFit="1" customWidth="1"/>
    <col min="16" max="16" width="15.5546875" bestFit="1" customWidth="1"/>
  </cols>
  <sheetData>
    <row r="1" spans="1:16" ht="34.799999999999997" x14ac:dyDescent="0.3">
      <c r="A1" s="146" t="s">
        <v>1363</v>
      </c>
    </row>
    <row r="2" spans="1:16" x14ac:dyDescent="0.3">
      <c r="A2" s="147" t="s">
        <v>72</v>
      </c>
    </row>
    <row r="3" spans="1:16" x14ac:dyDescent="0.3">
      <c r="A3" s="10" t="s">
        <v>506</v>
      </c>
      <c r="B3" s="10" t="s">
        <v>1364</v>
      </c>
      <c r="C3" s="10" t="s">
        <v>465</v>
      </c>
      <c r="D3" s="10" t="s">
        <v>466</v>
      </c>
      <c r="E3" s="10" t="s">
        <v>467</v>
      </c>
      <c r="F3" s="10" t="s">
        <v>984</v>
      </c>
      <c r="G3" s="10" t="s">
        <v>1365</v>
      </c>
      <c r="H3" s="10" t="s">
        <v>1064</v>
      </c>
      <c r="I3" s="10" t="s">
        <v>1235</v>
      </c>
      <c r="J3" s="10" t="s">
        <v>1366</v>
      </c>
      <c r="K3" s="10" t="s">
        <v>1367</v>
      </c>
      <c r="L3" s="10" t="s">
        <v>1368</v>
      </c>
      <c r="M3" s="10" t="s">
        <v>1269</v>
      </c>
      <c r="N3" s="10" t="s">
        <v>1369</v>
      </c>
      <c r="O3" s="10" t="s">
        <v>1370</v>
      </c>
      <c r="P3" s="10" t="s">
        <v>144</v>
      </c>
    </row>
    <row r="4" spans="1:16" x14ac:dyDescent="0.3">
      <c r="A4" s="16">
        <v>121</v>
      </c>
      <c r="B4" s="29" t="s">
        <v>522</v>
      </c>
      <c r="C4" s="29">
        <v>75253328</v>
      </c>
      <c r="D4" s="29" t="s">
        <v>483</v>
      </c>
      <c r="E4" s="45" t="s">
        <v>480</v>
      </c>
      <c r="F4" s="29" t="s">
        <v>129</v>
      </c>
      <c r="G4" s="122">
        <v>165</v>
      </c>
      <c r="H4" s="122">
        <v>0</v>
      </c>
      <c r="I4" s="123">
        <v>0</v>
      </c>
      <c r="J4" s="122">
        <v>0</v>
      </c>
      <c r="K4" s="122">
        <v>0</v>
      </c>
      <c r="L4" s="122">
        <v>0</v>
      </c>
      <c r="M4" s="123">
        <v>32.85</v>
      </c>
      <c r="N4" s="123">
        <v>44.42</v>
      </c>
      <c r="O4" s="124">
        <f t="shared" ref="O4:O67" si="0">G4*M4</f>
        <v>5420.25</v>
      </c>
      <c r="P4" s="51" t="s">
        <v>1371</v>
      </c>
    </row>
    <row r="5" spans="1:16" x14ac:dyDescent="0.3">
      <c r="A5" s="16">
        <v>4414</v>
      </c>
      <c r="B5" s="29" t="s">
        <v>525</v>
      </c>
      <c r="C5" s="29">
        <v>75253328</v>
      </c>
      <c r="D5" s="29" t="s">
        <v>483</v>
      </c>
      <c r="E5" s="45" t="s">
        <v>480</v>
      </c>
      <c r="F5" s="29" t="s">
        <v>129</v>
      </c>
      <c r="G5" s="122">
        <v>124</v>
      </c>
      <c r="H5" s="122">
        <v>0</v>
      </c>
      <c r="I5" s="123">
        <v>0</v>
      </c>
      <c r="J5" s="122">
        <v>0</v>
      </c>
      <c r="K5" s="122">
        <v>0</v>
      </c>
      <c r="L5" s="122">
        <v>0</v>
      </c>
      <c r="M5" s="123">
        <v>32.85</v>
      </c>
      <c r="N5" s="123">
        <v>44.42</v>
      </c>
      <c r="O5" s="124">
        <f t="shared" si="0"/>
        <v>4073.4</v>
      </c>
      <c r="P5" s="51" t="s">
        <v>1371</v>
      </c>
    </row>
    <row r="6" spans="1:16" x14ac:dyDescent="0.3">
      <c r="A6" s="16">
        <v>4414</v>
      </c>
      <c r="B6" s="29" t="s">
        <v>525</v>
      </c>
      <c r="C6" s="29">
        <v>75253329</v>
      </c>
      <c r="D6" s="29" t="s">
        <v>482</v>
      </c>
      <c r="E6" s="45" t="s">
        <v>480</v>
      </c>
      <c r="F6" s="29" t="s">
        <v>129</v>
      </c>
      <c r="G6" s="122">
        <v>99</v>
      </c>
      <c r="H6" s="122">
        <v>0</v>
      </c>
      <c r="I6" s="123">
        <v>0</v>
      </c>
      <c r="J6" s="122">
        <v>0</v>
      </c>
      <c r="K6" s="122">
        <v>0</v>
      </c>
      <c r="L6" s="122">
        <v>0</v>
      </c>
      <c r="M6" s="123">
        <v>22</v>
      </c>
      <c r="N6" s="123">
        <v>29.91</v>
      </c>
      <c r="O6" s="124">
        <f t="shared" si="0"/>
        <v>2178</v>
      </c>
      <c r="P6" s="51" t="s">
        <v>1371</v>
      </c>
    </row>
    <row r="7" spans="1:16" x14ac:dyDescent="0.3">
      <c r="A7" s="16">
        <v>4037</v>
      </c>
      <c r="B7" s="29" t="s">
        <v>517</v>
      </c>
      <c r="C7" s="29">
        <v>75214932</v>
      </c>
      <c r="D7" s="29" t="s">
        <v>479</v>
      </c>
      <c r="E7" s="45" t="s">
        <v>480</v>
      </c>
      <c r="F7" s="29" t="s">
        <v>129</v>
      </c>
      <c r="G7" s="122">
        <v>42</v>
      </c>
      <c r="H7" s="122">
        <v>0</v>
      </c>
      <c r="I7" s="123">
        <v>0</v>
      </c>
      <c r="J7" s="122">
        <v>0</v>
      </c>
      <c r="K7" s="122">
        <v>0</v>
      </c>
      <c r="L7" s="122">
        <v>0</v>
      </c>
      <c r="M7" s="123">
        <v>45.54</v>
      </c>
      <c r="N7" s="123">
        <v>61.61</v>
      </c>
      <c r="O7" s="124">
        <f t="shared" si="0"/>
        <v>1912.68</v>
      </c>
      <c r="P7" s="51" t="s">
        <v>1371</v>
      </c>
    </row>
    <row r="8" spans="1:16" x14ac:dyDescent="0.3">
      <c r="A8" s="16">
        <v>24</v>
      </c>
      <c r="B8" s="29" t="s">
        <v>543</v>
      </c>
      <c r="C8" s="29">
        <v>75253329</v>
      </c>
      <c r="D8" s="29" t="s">
        <v>482</v>
      </c>
      <c r="E8" s="45" t="s">
        <v>480</v>
      </c>
      <c r="F8" s="29" t="s">
        <v>129</v>
      </c>
      <c r="G8" s="122">
        <v>39</v>
      </c>
      <c r="H8" s="122">
        <v>0</v>
      </c>
      <c r="I8" s="123">
        <v>0</v>
      </c>
      <c r="J8" s="122">
        <v>0</v>
      </c>
      <c r="K8" s="122">
        <v>0</v>
      </c>
      <c r="L8" s="122">
        <v>0</v>
      </c>
      <c r="M8" s="123">
        <v>22</v>
      </c>
      <c r="N8" s="123">
        <v>29.91</v>
      </c>
      <c r="O8" s="124">
        <f t="shared" si="0"/>
        <v>858</v>
      </c>
      <c r="P8" s="51" t="s">
        <v>1371</v>
      </c>
    </row>
    <row r="9" spans="1:16" x14ac:dyDescent="0.3">
      <c r="A9" s="16">
        <v>35</v>
      </c>
      <c r="B9" s="29" t="s">
        <v>549</v>
      </c>
      <c r="C9" s="29">
        <v>75253328</v>
      </c>
      <c r="D9" s="29" t="s">
        <v>483</v>
      </c>
      <c r="E9" s="45" t="s">
        <v>480</v>
      </c>
      <c r="F9" s="29" t="s">
        <v>129</v>
      </c>
      <c r="G9" s="122">
        <v>36</v>
      </c>
      <c r="H9" s="122">
        <v>0</v>
      </c>
      <c r="I9" s="123">
        <v>0</v>
      </c>
      <c r="J9" s="122">
        <v>0</v>
      </c>
      <c r="K9" s="122">
        <v>0</v>
      </c>
      <c r="L9" s="122">
        <v>0</v>
      </c>
      <c r="M9" s="123">
        <v>32.85</v>
      </c>
      <c r="N9" s="123">
        <v>44.42</v>
      </c>
      <c r="O9" s="124">
        <f t="shared" si="0"/>
        <v>1182.6000000000001</v>
      </c>
      <c r="P9" s="51" t="s">
        <v>1371</v>
      </c>
    </row>
    <row r="10" spans="1:16" x14ac:dyDescent="0.3">
      <c r="A10" s="16">
        <v>948</v>
      </c>
      <c r="B10" s="29" t="s">
        <v>553</v>
      </c>
      <c r="C10" s="29">
        <v>75253328</v>
      </c>
      <c r="D10" s="29" t="s">
        <v>483</v>
      </c>
      <c r="E10" s="45" t="s">
        <v>480</v>
      </c>
      <c r="F10" s="29" t="s">
        <v>129</v>
      </c>
      <c r="G10" s="122">
        <v>33</v>
      </c>
      <c r="H10" s="122">
        <v>0</v>
      </c>
      <c r="I10" s="123">
        <v>0</v>
      </c>
      <c r="J10" s="122">
        <v>0</v>
      </c>
      <c r="K10" s="122">
        <v>0</v>
      </c>
      <c r="L10" s="122">
        <v>0</v>
      </c>
      <c r="M10" s="123">
        <v>32.85</v>
      </c>
      <c r="N10" s="123">
        <v>44.42</v>
      </c>
      <c r="O10" s="124">
        <f t="shared" si="0"/>
        <v>1084.05</v>
      </c>
      <c r="P10" s="51" t="s">
        <v>1371</v>
      </c>
    </row>
    <row r="11" spans="1:16" x14ac:dyDescent="0.3">
      <c r="A11" s="16">
        <v>4412</v>
      </c>
      <c r="B11" s="29" t="s">
        <v>538</v>
      </c>
      <c r="C11" s="29">
        <v>75244431</v>
      </c>
      <c r="D11" s="29" t="s">
        <v>489</v>
      </c>
      <c r="E11" s="45" t="s">
        <v>480</v>
      </c>
      <c r="F11" s="29" t="s">
        <v>129</v>
      </c>
      <c r="G11" s="122">
        <v>29</v>
      </c>
      <c r="H11" s="122">
        <v>0</v>
      </c>
      <c r="I11" s="123">
        <v>0</v>
      </c>
      <c r="J11" s="122">
        <v>0</v>
      </c>
      <c r="K11" s="122">
        <v>0</v>
      </c>
      <c r="L11" s="122">
        <v>0</v>
      </c>
      <c r="M11" s="123">
        <v>32.85</v>
      </c>
      <c r="N11" s="123">
        <v>44.64</v>
      </c>
      <c r="O11" s="124">
        <f t="shared" si="0"/>
        <v>952.65000000000009</v>
      </c>
      <c r="P11" s="51" t="s">
        <v>1371</v>
      </c>
    </row>
    <row r="12" spans="1:16" x14ac:dyDescent="0.3">
      <c r="A12" s="16">
        <v>414</v>
      </c>
      <c r="B12" s="29" t="s">
        <v>544</v>
      </c>
      <c r="C12" s="29">
        <v>75214932</v>
      </c>
      <c r="D12" s="29" t="s">
        <v>479</v>
      </c>
      <c r="E12" s="45" t="s">
        <v>480</v>
      </c>
      <c r="F12" s="29" t="s">
        <v>129</v>
      </c>
      <c r="G12" s="122">
        <v>26</v>
      </c>
      <c r="H12" s="122">
        <v>0</v>
      </c>
      <c r="I12" s="123">
        <v>0</v>
      </c>
      <c r="J12" s="122">
        <v>0</v>
      </c>
      <c r="K12" s="122">
        <v>0</v>
      </c>
      <c r="L12" s="122">
        <v>0</v>
      </c>
      <c r="M12" s="123">
        <v>45.54</v>
      </c>
      <c r="N12" s="123">
        <v>61.61</v>
      </c>
      <c r="O12" s="124">
        <f t="shared" si="0"/>
        <v>1184.04</v>
      </c>
      <c r="P12" s="51" t="s">
        <v>1371</v>
      </c>
    </row>
    <row r="13" spans="1:16" x14ac:dyDescent="0.3">
      <c r="A13" s="16">
        <v>459</v>
      </c>
      <c r="B13" s="29" t="s">
        <v>527</v>
      </c>
      <c r="C13" s="29">
        <v>75214932</v>
      </c>
      <c r="D13" s="29" t="s">
        <v>479</v>
      </c>
      <c r="E13" s="45" t="s">
        <v>480</v>
      </c>
      <c r="F13" s="29" t="s">
        <v>129</v>
      </c>
      <c r="G13" s="122">
        <v>24</v>
      </c>
      <c r="H13" s="122">
        <v>0</v>
      </c>
      <c r="I13" s="123">
        <v>0</v>
      </c>
      <c r="J13" s="122">
        <v>0</v>
      </c>
      <c r="K13" s="122">
        <v>0</v>
      </c>
      <c r="L13" s="122">
        <v>0</v>
      </c>
      <c r="M13" s="123">
        <v>45.54</v>
      </c>
      <c r="N13" s="123">
        <v>61.61</v>
      </c>
      <c r="O13" s="124">
        <f t="shared" si="0"/>
        <v>1092.96</v>
      </c>
      <c r="P13" s="51" t="s">
        <v>1371</v>
      </c>
    </row>
    <row r="14" spans="1:16" x14ac:dyDescent="0.3">
      <c r="A14" s="16">
        <v>4414</v>
      </c>
      <c r="B14" s="29" t="s">
        <v>525</v>
      </c>
      <c r="C14" s="29">
        <v>75214932</v>
      </c>
      <c r="D14" s="29" t="s">
        <v>479</v>
      </c>
      <c r="E14" s="45" t="s">
        <v>480</v>
      </c>
      <c r="F14" s="29" t="s">
        <v>129</v>
      </c>
      <c r="G14" s="122">
        <v>23</v>
      </c>
      <c r="H14" s="122">
        <v>0</v>
      </c>
      <c r="I14" s="123">
        <v>0</v>
      </c>
      <c r="J14" s="122">
        <v>0</v>
      </c>
      <c r="K14" s="122">
        <v>0</v>
      </c>
      <c r="L14" s="122">
        <v>0</v>
      </c>
      <c r="M14" s="123">
        <v>45.54</v>
      </c>
      <c r="N14" s="123">
        <v>61.61</v>
      </c>
      <c r="O14" s="124">
        <f t="shared" si="0"/>
        <v>1047.42</v>
      </c>
      <c r="P14" s="51" t="s">
        <v>1371</v>
      </c>
    </row>
    <row r="15" spans="1:16" x14ac:dyDescent="0.3">
      <c r="A15" s="16">
        <v>4433</v>
      </c>
      <c r="B15" s="29" t="s">
        <v>520</v>
      </c>
      <c r="C15" s="29">
        <v>75214932</v>
      </c>
      <c r="D15" s="29" t="s">
        <v>479</v>
      </c>
      <c r="E15" s="45" t="s">
        <v>480</v>
      </c>
      <c r="F15" s="29" t="s">
        <v>129</v>
      </c>
      <c r="G15" s="122">
        <v>22</v>
      </c>
      <c r="H15" s="122">
        <v>0</v>
      </c>
      <c r="I15" s="123">
        <v>0</v>
      </c>
      <c r="J15" s="122">
        <v>0</v>
      </c>
      <c r="K15" s="122">
        <v>0</v>
      </c>
      <c r="L15" s="122">
        <v>0</v>
      </c>
      <c r="M15" s="123">
        <v>45.54</v>
      </c>
      <c r="N15" s="123">
        <v>61.61</v>
      </c>
      <c r="O15" s="124">
        <f t="shared" si="0"/>
        <v>1001.88</v>
      </c>
      <c r="P15" s="51" t="s">
        <v>1371</v>
      </c>
    </row>
    <row r="16" spans="1:16" x14ac:dyDescent="0.3">
      <c r="A16" s="16">
        <v>459</v>
      </c>
      <c r="B16" s="29" t="s">
        <v>527</v>
      </c>
      <c r="C16" s="29">
        <v>75253328</v>
      </c>
      <c r="D16" s="29" t="s">
        <v>483</v>
      </c>
      <c r="E16" s="45" t="s">
        <v>480</v>
      </c>
      <c r="F16" s="29" t="s">
        <v>129</v>
      </c>
      <c r="G16" s="122">
        <v>22</v>
      </c>
      <c r="H16" s="122">
        <v>0</v>
      </c>
      <c r="I16" s="123">
        <v>0</v>
      </c>
      <c r="J16" s="122">
        <v>0</v>
      </c>
      <c r="K16" s="122">
        <v>0</v>
      </c>
      <c r="L16" s="122">
        <v>0</v>
      </c>
      <c r="M16" s="123">
        <v>32.85</v>
      </c>
      <c r="N16" s="123">
        <v>44.42</v>
      </c>
      <c r="O16" s="124">
        <f t="shared" si="0"/>
        <v>722.7</v>
      </c>
      <c r="P16" s="51" t="s">
        <v>1371</v>
      </c>
    </row>
    <row r="17" spans="1:16" x14ac:dyDescent="0.3">
      <c r="A17" s="16">
        <v>4037</v>
      </c>
      <c r="B17" s="29" t="s">
        <v>517</v>
      </c>
      <c r="C17" s="29">
        <v>75253329</v>
      </c>
      <c r="D17" s="29" t="s">
        <v>482</v>
      </c>
      <c r="E17" s="45" t="s">
        <v>480</v>
      </c>
      <c r="F17" s="29" t="s">
        <v>129</v>
      </c>
      <c r="G17" s="122">
        <v>20</v>
      </c>
      <c r="H17" s="122">
        <v>0</v>
      </c>
      <c r="I17" s="123">
        <v>0</v>
      </c>
      <c r="J17" s="122">
        <v>0</v>
      </c>
      <c r="K17" s="122">
        <v>0</v>
      </c>
      <c r="L17" s="122">
        <v>0</v>
      </c>
      <c r="M17" s="123">
        <v>22</v>
      </c>
      <c r="N17" s="123">
        <v>29.91</v>
      </c>
      <c r="O17" s="124">
        <f t="shared" si="0"/>
        <v>440</v>
      </c>
      <c r="P17" s="51" t="s">
        <v>1371</v>
      </c>
    </row>
    <row r="18" spans="1:16" x14ac:dyDescent="0.3">
      <c r="A18" s="16">
        <v>4176</v>
      </c>
      <c r="B18" s="29" t="s">
        <v>536</v>
      </c>
      <c r="C18" s="29">
        <v>75253329</v>
      </c>
      <c r="D18" s="29" t="s">
        <v>482</v>
      </c>
      <c r="E18" s="45" t="s">
        <v>480</v>
      </c>
      <c r="F18" s="29" t="s">
        <v>129</v>
      </c>
      <c r="G18" s="122">
        <v>20</v>
      </c>
      <c r="H18" s="122">
        <v>0</v>
      </c>
      <c r="I18" s="123">
        <v>0</v>
      </c>
      <c r="J18" s="122">
        <v>0</v>
      </c>
      <c r="K18" s="122">
        <v>0</v>
      </c>
      <c r="L18" s="122">
        <v>0</v>
      </c>
      <c r="M18" s="123">
        <v>22</v>
      </c>
      <c r="N18" s="123">
        <v>29.91</v>
      </c>
      <c r="O18" s="124">
        <f t="shared" si="0"/>
        <v>440</v>
      </c>
      <c r="P18" s="51" t="s">
        <v>1371</v>
      </c>
    </row>
    <row r="19" spans="1:16" x14ac:dyDescent="0.3">
      <c r="A19" s="16">
        <v>4370</v>
      </c>
      <c r="B19" s="29" t="s">
        <v>542</v>
      </c>
      <c r="C19" s="29">
        <v>75253329</v>
      </c>
      <c r="D19" s="29" t="s">
        <v>482</v>
      </c>
      <c r="E19" s="45" t="s">
        <v>480</v>
      </c>
      <c r="F19" s="29" t="s">
        <v>129</v>
      </c>
      <c r="G19" s="122">
        <v>20</v>
      </c>
      <c r="H19" s="122">
        <v>0</v>
      </c>
      <c r="I19" s="123">
        <v>0</v>
      </c>
      <c r="J19" s="122">
        <v>0</v>
      </c>
      <c r="K19" s="122">
        <v>0</v>
      </c>
      <c r="L19" s="122">
        <v>0</v>
      </c>
      <c r="M19" s="123">
        <v>22</v>
      </c>
      <c r="N19" s="123">
        <v>29.91</v>
      </c>
      <c r="O19" s="124">
        <f t="shared" si="0"/>
        <v>440</v>
      </c>
      <c r="P19" s="51" t="s">
        <v>1371</v>
      </c>
    </row>
    <row r="20" spans="1:16" x14ac:dyDescent="0.3">
      <c r="A20" s="16">
        <v>1054</v>
      </c>
      <c r="B20" s="29" t="s">
        <v>524</v>
      </c>
      <c r="C20" s="29">
        <v>75214932</v>
      </c>
      <c r="D20" s="29" t="s">
        <v>479</v>
      </c>
      <c r="E20" s="45" t="s">
        <v>480</v>
      </c>
      <c r="F20" s="29" t="s">
        <v>129</v>
      </c>
      <c r="G20" s="122">
        <v>19</v>
      </c>
      <c r="H20" s="122">
        <v>0</v>
      </c>
      <c r="I20" s="123">
        <v>0</v>
      </c>
      <c r="J20" s="122">
        <v>0</v>
      </c>
      <c r="K20" s="122">
        <v>0</v>
      </c>
      <c r="L20" s="122">
        <v>0</v>
      </c>
      <c r="M20" s="123">
        <v>45.54</v>
      </c>
      <c r="N20" s="123">
        <v>61.61</v>
      </c>
      <c r="O20" s="124">
        <f t="shared" si="0"/>
        <v>865.26</v>
      </c>
      <c r="P20" s="51" t="s">
        <v>1371</v>
      </c>
    </row>
    <row r="21" spans="1:16" x14ac:dyDescent="0.3">
      <c r="A21" s="16">
        <v>4412</v>
      </c>
      <c r="B21" s="29" t="s">
        <v>538</v>
      </c>
      <c r="C21" s="29">
        <v>75244435</v>
      </c>
      <c r="D21" s="29" t="s">
        <v>488</v>
      </c>
      <c r="E21" s="45" t="s">
        <v>480</v>
      </c>
      <c r="F21" s="29" t="s">
        <v>129</v>
      </c>
      <c r="G21" s="122">
        <v>19</v>
      </c>
      <c r="H21" s="122">
        <v>0</v>
      </c>
      <c r="I21" s="123">
        <v>0</v>
      </c>
      <c r="J21" s="122">
        <v>0</v>
      </c>
      <c r="K21" s="122">
        <v>0</v>
      </c>
      <c r="L21" s="122">
        <v>0</v>
      </c>
      <c r="M21" s="123">
        <v>32.85</v>
      </c>
      <c r="N21" s="123">
        <v>44.64</v>
      </c>
      <c r="O21" s="124">
        <f t="shared" si="0"/>
        <v>624.15</v>
      </c>
      <c r="P21" s="51" t="s">
        <v>1371</v>
      </c>
    </row>
    <row r="22" spans="1:16" x14ac:dyDescent="0.3">
      <c r="A22" s="16">
        <v>419</v>
      </c>
      <c r="B22" s="29" t="s">
        <v>534</v>
      </c>
      <c r="C22" s="29">
        <v>75214932</v>
      </c>
      <c r="D22" s="29" t="s">
        <v>479</v>
      </c>
      <c r="E22" s="45" t="s">
        <v>480</v>
      </c>
      <c r="F22" s="29" t="s">
        <v>129</v>
      </c>
      <c r="G22" s="122">
        <v>16</v>
      </c>
      <c r="H22" s="122">
        <v>0</v>
      </c>
      <c r="I22" s="123">
        <v>0</v>
      </c>
      <c r="J22" s="122">
        <v>0</v>
      </c>
      <c r="K22" s="122">
        <v>0</v>
      </c>
      <c r="L22" s="122">
        <v>0</v>
      </c>
      <c r="M22" s="123">
        <v>45.54</v>
      </c>
      <c r="N22" s="123">
        <v>61.61</v>
      </c>
      <c r="O22" s="124">
        <f t="shared" si="0"/>
        <v>728.64</v>
      </c>
      <c r="P22" s="51" t="s">
        <v>1371</v>
      </c>
    </row>
    <row r="23" spans="1:16" x14ac:dyDescent="0.3">
      <c r="A23" s="16">
        <v>35</v>
      </c>
      <c r="B23" s="29" t="s">
        <v>549</v>
      </c>
      <c r="C23" s="29">
        <v>75253329</v>
      </c>
      <c r="D23" s="29" t="s">
        <v>482</v>
      </c>
      <c r="E23" s="45" t="s">
        <v>480</v>
      </c>
      <c r="F23" s="29" t="s">
        <v>129</v>
      </c>
      <c r="G23" s="122">
        <v>16</v>
      </c>
      <c r="H23" s="122">
        <v>0</v>
      </c>
      <c r="I23" s="123">
        <v>0</v>
      </c>
      <c r="J23" s="122">
        <v>0</v>
      </c>
      <c r="K23" s="122">
        <v>0</v>
      </c>
      <c r="L23" s="122">
        <v>0</v>
      </c>
      <c r="M23" s="123">
        <v>22</v>
      </c>
      <c r="N23" s="123">
        <v>29.91</v>
      </c>
      <c r="O23" s="124">
        <f t="shared" si="0"/>
        <v>352</v>
      </c>
      <c r="P23" s="51" t="s">
        <v>1371</v>
      </c>
    </row>
    <row r="24" spans="1:16" x14ac:dyDescent="0.3">
      <c r="A24" s="16">
        <v>4087</v>
      </c>
      <c r="B24" s="29" t="s">
        <v>532</v>
      </c>
      <c r="C24" s="29">
        <v>75253328</v>
      </c>
      <c r="D24" s="29" t="s">
        <v>483</v>
      </c>
      <c r="E24" s="45" t="s">
        <v>480</v>
      </c>
      <c r="F24" s="29" t="s">
        <v>129</v>
      </c>
      <c r="G24" s="122">
        <v>15</v>
      </c>
      <c r="H24" s="122">
        <v>0</v>
      </c>
      <c r="I24" s="123">
        <v>0</v>
      </c>
      <c r="J24" s="122">
        <v>0</v>
      </c>
      <c r="K24" s="122">
        <v>0</v>
      </c>
      <c r="L24" s="122">
        <v>0</v>
      </c>
      <c r="M24" s="123">
        <v>32.85</v>
      </c>
      <c r="N24" s="123">
        <v>44.42</v>
      </c>
      <c r="O24" s="124">
        <f t="shared" si="0"/>
        <v>492.75</v>
      </c>
      <c r="P24" s="51" t="s">
        <v>1371</v>
      </c>
    </row>
    <row r="25" spans="1:16" x14ac:dyDescent="0.3">
      <c r="A25" s="16">
        <v>47</v>
      </c>
      <c r="B25" s="29" t="s">
        <v>516</v>
      </c>
      <c r="C25" s="29">
        <v>75214932</v>
      </c>
      <c r="D25" s="29" t="s">
        <v>479</v>
      </c>
      <c r="E25" s="45" t="s">
        <v>480</v>
      </c>
      <c r="F25" s="29" t="s">
        <v>129</v>
      </c>
      <c r="G25" s="122">
        <v>14</v>
      </c>
      <c r="H25" s="122">
        <v>0</v>
      </c>
      <c r="I25" s="123">
        <v>0</v>
      </c>
      <c r="J25" s="122">
        <v>0</v>
      </c>
      <c r="K25" s="122">
        <v>0</v>
      </c>
      <c r="L25" s="122">
        <v>0</v>
      </c>
      <c r="M25" s="123">
        <v>45.54</v>
      </c>
      <c r="N25" s="123">
        <v>61.61</v>
      </c>
      <c r="O25" s="124">
        <f t="shared" si="0"/>
        <v>637.55999999999995</v>
      </c>
      <c r="P25" s="51" t="s">
        <v>1371</v>
      </c>
    </row>
    <row r="26" spans="1:16" x14ac:dyDescent="0.3">
      <c r="A26" s="16">
        <v>4491</v>
      </c>
      <c r="B26" s="29" t="s">
        <v>559</v>
      </c>
      <c r="C26" s="29">
        <v>75214932</v>
      </c>
      <c r="D26" s="29" t="s">
        <v>479</v>
      </c>
      <c r="E26" s="45" t="s">
        <v>480</v>
      </c>
      <c r="F26" s="29" t="s">
        <v>129</v>
      </c>
      <c r="G26" s="122">
        <v>14</v>
      </c>
      <c r="H26" s="122">
        <v>0</v>
      </c>
      <c r="I26" s="123">
        <v>0</v>
      </c>
      <c r="J26" s="122">
        <v>0</v>
      </c>
      <c r="K26" s="122">
        <v>0</v>
      </c>
      <c r="L26" s="122">
        <v>0</v>
      </c>
      <c r="M26" s="123">
        <v>45.54</v>
      </c>
      <c r="N26" s="123">
        <v>61.61</v>
      </c>
      <c r="O26" s="124">
        <f t="shared" si="0"/>
        <v>637.55999999999995</v>
      </c>
      <c r="P26" s="51" t="s">
        <v>1371</v>
      </c>
    </row>
    <row r="27" spans="1:16" x14ac:dyDescent="0.3">
      <c r="A27" s="16">
        <v>164</v>
      </c>
      <c r="B27" s="29" t="s">
        <v>555</v>
      </c>
      <c r="C27" s="29">
        <v>75253328</v>
      </c>
      <c r="D27" s="29" t="s">
        <v>483</v>
      </c>
      <c r="E27" s="45" t="s">
        <v>480</v>
      </c>
      <c r="F27" s="29" t="s">
        <v>129</v>
      </c>
      <c r="G27" s="122">
        <v>14</v>
      </c>
      <c r="H27" s="122">
        <v>0</v>
      </c>
      <c r="I27" s="123">
        <v>0</v>
      </c>
      <c r="J27" s="122">
        <v>0</v>
      </c>
      <c r="K27" s="122">
        <v>0</v>
      </c>
      <c r="L27" s="122">
        <v>0</v>
      </c>
      <c r="M27" s="123">
        <v>32.85</v>
      </c>
      <c r="N27" s="123">
        <v>44.42</v>
      </c>
      <c r="O27" s="124">
        <f t="shared" si="0"/>
        <v>459.90000000000003</v>
      </c>
      <c r="P27" s="51" t="s">
        <v>1371</v>
      </c>
    </row>
    <row r="28" spans="1:16" x14ac:dyDescent="0.3">
      <c r="A28" s="16">
        <v>4087</v>
      </c>
      <c r="B28" s="29" t="s">
        <v>532</v>
      </c>
      <c r="C28" s="29">
        <v>75253329</v>
      </c>
      <c r="D28" s="29" t="s">
        <v>482</v>
      </c>
      <c r="E28" s="45" t="s">
        <v>480</v>
      </c>
      <c r="F28" s="29" t="s">
        <v>129</v>
      </c>
      <c r="G28" s="122">
        <v>14</v>
      </c>
      <c r="H28" s="122">
        <v>0</v>
      </c>
      <c r="I28" s="123">
        <v>0</v>
      </c>
      <c r="J28" s="122">
        <v>0</v>
      </c>
      <c r="K28" s="122">
        <v>0</v>
      </c>
      <c r="L28" s="122">
        <v>0</v>
      </c>
      <c r="M28" s="123">
        <v>22</v>
      </c>
      <c r="N28" s="123">
        <v>29.91</v>
      </c>
      <c r="O28" s="124">
        <f t="shared" si="0"/>
        <v>308</v>
      </c>
      <c r="P28" s="51" t="s">
        <v>1371</v>
      </c>
    </row>
    <row r="29" spans="1:16" x14ac:dyDescent="0.3">
      <c r="A29" s="16">
        <v>4491</v>
      </c>
      <c r="B29" s="29" t="s">
        <v>559</v>
      </c>
      <c r="C29" s="29">
        <v>75253329</v>
      </c>
      <c r="D29" s="29" t="s">
        <v>482</v>
      </c>
      <c r="E29" s="45" t="s">
        <v>480</v>
      </c>
      <c r="F29" s="29" t="s">
        <v>129</v>
      </c>
      <c r="G29" s="122">
        <v>14</v>
      </c>
      <c r="H29" s="122">
        <v>0</v>
      </c>
      <c r="I29" s="123">
        <v>0</v>
      </c>
      <c r="J29" s="122">
        <v>0</v>
      </c>
      <c r="K29" s="122">
        <v>0</v>
      </c>
      <c r="L29" s="122">
        <v>0</v>
      </c>
      <c r="M29" s="123">
        <v>22</v>
      </c>
      <c r="N29" s="123">
        <v>29.91</v>
      </c>
      <c r="O29" s="124">
        <f t="shared" si="0"/>
        <v>308</v>
      </c>
      <c r="P29" s="51" t="s">
        <v>1371</v>
      </c>
    </row>
    <row r="30" spans="1:16" x14ac:dyDescent="0.3">
      <c r="A30" s="16">
        <v>4412</v>
      </c>
      <c r="B30" s="29" t="s">
        <v>538</v>
      </c>
      <c r="C30" s="29">
        <v>75214932</v>
      </c>
      <c r="D30" s="29" t="s">
        <v>479</v>
      </c>
      <c r="E30" s="45" t="s">
        <v>480</v>
      </c>
      <c r="F30" s="29" t="s">
        <v>129</v>
      </c>
      <c r="G30" s="122">
        <v>13</v>
      </c>
      <c r="H30" s="122">
        <v>0</v>
      </c>
      <c r="I30" s="123">
        <v>0</v>
      </c>
      <c r="J30" s="122">
        <v>0</v>
      </c>
      <c r="K30" s="122">
        <v>0</v>
      </c>
      <c r="L30" s="122">
        <v>0</v>
      </c>
      <c r="M30" s="123">
        <v>45.54</v>
      </c>
      <c r="N30" s="123">
        <v>61.61</v>
      </c>
      <c r="O30" s="124">
        <f t="shared" si="0"/>
        <v>592.02</v>
      </c>
      <c r="P30" s="51" t="s">
        <v>1371</v>
      </c>
    </row>
    <row r="31" spans="1:16" x14ac:dyDescent="0.3">
      <c r="A31" s="16">
        <v>1054</v>
      </c>
      <c r="B31" s="29" t="s">
        <v>524</v>
      </c>
      <c r="C31" s="29">
        <v>75253328</v>
      </c>
      <c r="D31" s="29" t="s">
        <v>483</v>
      </c>
      <c r="E31" s="45" t="s">
        <v>480</v>
      </c>
      <c r="F31" s="29" t="s">
        <v>129</v>
      </c>
      <c r="G31" s="122">
        <v>13</v>
      </c>
      <c r="H31" s="122">
        <v>0</v>
      </c>
      <c r="I31" s="123">
        <v>0</v>
      </c>
      <c r="J31" s="122">
        <v>0</v>
      </c>
      <c r="K31" s="122">
        <v>0</v>
      </c>
      <c r="L31" s="122">
        <v>0</v>
      </c>
      <c r="M31" s="123">
        <v>32.85</v>
      </c>
      <c r="N31" s="123">
        <v>44.42</v>
      </c>
      <c r="O31" s="124">
        <f t="shared" si="0"/>
        <v>427.05</v>
      </c>
      <c r="P31" s="51" t="s">
        <v>1371</v>
      </c>
    </row>
    <row r="32" spans="1:16" x14ac:dyDescent="0.3">
      <c r="A32" s="16">
        <v>180</v>
      </c>
      <c r="B32" s="29" t="s">
        <v>528</v>
      </c>
      <c r="C32" s="29">
        <v>75253329</v>
      </c>
      <c r="D32" s="29" t="s">
        <v>482</v>
      </c>
      <c r="E32" s="45" t="s">
        <v>480</v>
      </c>
      <c r="F32" s="29" t="s">
        <v>129</v>
      </c>
      <c r="G32" s="122">
        <v>13</v>
      </c>
      <c r="H32" s="122">
        <v>0</v>
      </c>
      <c r="I32" s="123">
        <v>0</v>
      </c>
      <c r="J32" s="122">
        <v>0</v>
      </c>
      <c r="K32" s="122">
        <v>0</v>
      </c>
      <c r="L32" s="122">
        <v>0</v>
      </c>
      <c r="M32" s="123">
        <v>22</v>
      </c>
      <c r="N32" s="123">
        <v>29.91</v>
      </c>
      <c r="O32" s="124">
        <f t="shared" si="0"/>
        <v>286</v>
      </c>
      <c r="P32" s="51" t="s">
        <v>1371</v>
      </c>
    </row>
    <row r="33" spans="1:16" x14ac:dyDescent="0.3">
      <c r="A33" s="16">
        <v>24</v>
      </c>
      <c r="B33" s="29" t="s">
        <v>543</v>
      </c>
      <c r="C33" s="29">
        <v>75214932</v>
      </c>
      <c r="D33" s="29" t="s">
        <v>479</v>
      </c>
      <c r="E33" s="45" t="s">
        <v>480</v>
      </c>
      <c r="F33" s="29" t="s">
        <v>129</v>
      </c>
      <c r="G33" s="122">
        <v>12</v>
      </c>
      <c r="H33" s="122">
        <v>0</v>
      </c>
      <c r="I33" s="123">
        <v>0</v>
      </c>
      <c r="J33" s="122">
        <v>0</v>
      </c>
      <c r="K33" s="122">
        <v>0</v>
      </c>
      <c r="L33" s="122">
        <v>0</v>
      </c>
      <c r="M33" s="123">
        <v>45.54</v>
      </c>
      <c r="N33" s="123">
        <v>61.61</v>
      </c>
      <c r="O33" s="124">
        <f t="shared" si="0"/>
        <v>546.48</v>
      </c>
      <c r="P33" s="51" t="s">
        <v>1371</v>
      </c>
    </row>
    <row r="34" spans="1:16" x14ac:dyDescent="0.3">
      <c r="A34" s="16">
        <v>180</v>
      </c>
      <c r="B34" s="29" t="s">
        <v>528</v>
      </c>
      <c r="C34" s="29">
        <v>75214932</v>
      </c>
      <c r="D34" s="29" t="s">
        <v>479</v>
      </c>
      <c r="E34" s="45" t="s">
        <v>480</v>
      </c>
      <c r="F34" s="29" t="s">
        <v>129</v>
      </c>
      <c r="G34" s="122">
        <v>12</v>
      </c>
      <c r="H34" s="122">
        <v>0</v>
      </c>
      <c r="I34" s="123">
        <v>0</v>
      </c>
      <c r="J34" s="122">
        <v>0</v>
      </c>
      <c r="K34" s="122">
        <v>0</v>
      </c>
      <c r="L34" s="122">
        <v>0</v>
      </c>
      <c r="M34" s="123">
        <v>45.54</v>
      </c>
      <c r="N34" s="123">
        <v>61.61</v>
      </c>
      <c r="O34" s="124">
        <f t="shared" si="0"/>
        <v>546.48</v>
      </c>
      <c r="P34" s="51" t="s">
        <v>1371</v>
      </c>
    </row>
    <row r="35" spans="1:16" x14ac:dyDescent="0.3">
      <c r="A35" s="16">
        <v>344</v>
      </c>
      <c r="B35" s="29" t="s">
        <v>535</v>
      </c>
      <c r="C35" s="29">
        <v>75214932</v>
      </c>
      <c r="D35" s="29" t="s">
        <v>479</v>
      </c>
      <c r="E35" s="45" t="s">
        <v>480</v>
      </c>
      <c r="F35" s="29" t="s">
        <v>129</v>
      </c>
      <c r="G35" s="122">
        <v>12</v>
      </c>
      <c r="H35" s="122">
        <v>0</v>
      </c>
      <c r="I35" s="123">
        <v>0</v>
      </c>
      <c r="J35" s="122">
        <v>0</v>
      </c>
      <c r="K35" s="122">
        <v>0</v>
      </c>
      <c r="L35" s="122">
        <v>0</v>
      </c>
      <c r="M35" s="123">
        <v>45.54</v>
      </c>
      <c r="N35" s="123">
        <v>61.61</v>
      </c>
      <c r="O35" s="124">
        <f t="shared" si="0"/>
        <v>546.48</v>
      </c>
      <c r="P35" s="51" t="s">
        <v>1371</v>
      </c>
    </row>
    <row r="36" spans="1:16" x14ac:dyDescent="0.3">
      <c r="A36" s="16">
        <v>4116</v>
      </c>
      <c r="B36" s="29" t="s">
        <v>557</v>
      </c>
      <c r="C36" s="29">
        <v>75214932</v>
      </c>
      <c r="D36" s="29" t="s">
        <v>479</v>
      </c>
      <c r="E36" s="45" t="s">
        <v>480</v>
      </c>
      <c r="F36" s="29" t="s">
        <v>129</v>
      </c>
      <c r="G36" s="122">
        <v>12</v>
      </c>
      <c r="H36" s="122">
        <v>0</v>
      </c>
      <c r="I36" s="123">
        <v>0</v>
      </c>
      <c r="J36" s="122">
        <v>0</v>
      </c>
      <c r="K36" s="122">
        <v>0</v>
      </c>
      <c r="L36" s="122">
        <v>0</v>
      </c>
      <c r="M36" s="123">
        <v>45.54</v>
      </c>
      <c r="N36" s="123">
        <v>61.61</v>
      </c>
      <c r="O36" s="124">
        <f t="shared" si="0"/>
        <v>546.48</v>
      </c>
      <c r="P36" s="51" t="s">
        <v>1371</v>
      </c>
    </row>
    <row r="37" spans="1:16" x14ac:dyDescent="0.3">
      <c r="A37" s="16">
        <v>121</v>
      </c>
      <c r="B37" s="29" t="s">
        <v>522</v>
      </c>
      <c r="C37" s="29">
        <v>75244431</v>
      </c>
      <c r="D37" s="29" t="s">
        <v>489</v>
      </c>
      <c r="E37" s="45" t="s">
        <v>480</v>
      </c>
      <c r="F37" s="29" t="s">
        <v>129</v>
      </c>
      <c r="G37" s="122">
        <v>12</v>
      </c>
      <c r="H37" s="122">
        <v>0</v>
      </c>
      <c r="I37" s="123">
        <v>0</v>
      </c>
      <c r="J37" s="122">
        <v>0</v>
      </c>
      <c r="K37" s="122">
        <v>0</v>
      </c>
      <c r="L37" s="122">
        <v>0</v>
      </c>
      <c r="M37" s="123">
        <v>32.85</v>
      </c>
      <c r="N37" s="123">
        <v>44.64</v>
      </c>
      <c r="O37" s="124">
        <f t="shared" si="0"/>
        <v>394.20000000000005</v>
      </c>
      <c r="P37" s="51" t="s">
        <v>1371</v>
      </c>
    </row>
    <row r="38" spans="1:16" x14ac:dyDescent="0.3">
      <c r="A38" s="16">
        <v>459</v>
      </c>
      <c r="B38" s="29" t="s">
        <v>527</v>
      </c>
      <c r="C38" s="29">
        <v>75244431</v>
      </c>
      <c r="D38" s="29" t="s">
        <v>489</v>
      </c>
      <c r="E38" s="45" t="s">
        <v>480</v>
      </c>
      <c r="F38" s="29" t="s">
        <v>129</v>
      </c>
      <c r="G38" s="122">
        <v>12</v>
      </c>
      <c r="H38" s="122">
        <v>0</v>
      </c>
      <c r="I38" s="123">
        <v>0</v>
      </c>
      <c r="J38" s="122">
        <v>0</v>
      </c>
      <c r="K38" s="122">
        <v>0</v>
      </c>
      <c r="L38" s="122">
        <v>0</v>
      </c>
      <c r="M38" s="123">
        <v>32.85</v>
      </c>
      <c r="N38" s="123">
        <v>44.64</v>
      </c>
      <c r="O38" s="124">
        <f t="shared" si="0"/>
        <v>394.20000000000005</v>
      </c>
      <c r="P38" s="51" t="s">
        <v>1371</v>
      </c>
    </row>
    <row r="39" spans="1:16" x14ac:dyDescent="0.3">
      <c r="A39" s="16">
        <v>4414</v>
      </c>
      <c r="B39" s="29" t="s">
        <v>525</v>
      </c>
      <c r="C39" s="29">
        <v>75244435</v>
      </c>
      <c r="D39" s="29" t="s">
        <v>488</v>
      </c>
      <c r="E39" s="45" t="s">
        <v>480</v>
      </c>
      <c r="F39" s="29" t="s">
        <v>129</v>
      </c>
      <c r="G39" s="122">
        <v>12</v>
      </c>
      <c r="H39" s="122">
        <v>0</v>
      </c>
      <c r="I39" s="123">
        <v>0</v>
      </c>
      <c r="J39" s="122">
        <v>0</v>
      </c>
      <c r="K39" s="122">
        <v>0</v>
      </c>
      <c r="L39" s="122">
        <v>0</v>
      </c>
      <c r="M39" s="123">
        <v>32.85</v>
      </c>
      <c r="N39" s="123">
        <v>44.64</v>
      </c>
      <c r="O39" s="124">
        <f t="shared" si="0"/>
        <v>394.20000000000005</v>
      </c>
      <c r="P39" s="51" t="s">
        <v>1371</v>
      </c>
    </row>
    <row r="40" spans="1:16" x14ac:dyDescent="0.3">
      <c r="A40" s="16">
        <v>35</v>
      </c>
      <c r="B40" s="29" t="s">
        <v>549</v>
      </c>
      <c r="C40" s="29">
        <v>75214932</v>
      </c>
      <c r="D40" s="29" t="s">
        <v>479</v>
      </c>
      <c r="E40" s="45" t="s">
        <v>480</v>
      </c>
      <c r="F40" s="29" t="s">
        <v>129</v>
      </c>
      <c r="G40" s="122">
        <v>11</v>
      </c>
      <c r="H40" s="122">
        <v>0</v>
      </c>
      <c r="I40" s="123">
        <v>0</v>
      </c>
      <c r="J40" s="122">
        <v>0</v>
      </c>
      <c r="K40" s="122">
        <v>0</v>
      </c>
      <c r="L40" s="122">
        <v>0</v>
      </c>
      <c r="M40" s="123">
        <v>45.54</v>
      </c>
      <c r="N40" s="123">
        <v>61.61</v>
      </c>
      <c r="O40" s="124">
        <f t="shared" si="0"/>
        <v>500.94</v>
      </c>
      <c r="P40" s="51" t="s">
        <v>1371</v>
      </c>
    </row>
    <row r="41" spans="1:16" x14ac:dyDescent="0.3">
      <c r="A41" s="16">
        <v>414</v>
      </c>
      <c r="B41" s="29" t="s">
        <v>544</v>
      </c>
      <c r="C41" s="29">
        <v>75253328</v>
      </c>
      <c r="D41" s="29" t="s">
        <v>483</v>
      </c>
      <c r="E41" s="45" t="s">
        <v>480</v>
      </c>
      <c r="F41" s="29" t="s">
        <v>129</v>
      </c>
      <c r="G41" s="122">
        <v>10</v>
      </c>
      <c r="H41" s="122">
        <v>0</v>
      </c>
      <c r="I41" s="123">
        <v>0</v>
      </c>
      <c r="J41" s="122">
        <v>0</v>
      </c>
      <c r="K41" s="122">
        <v>0</v>
      </c>
      <c r="L41" s="122">
        <v>0</v>
      </c>
      <c r="M41" s="123">
        <v>32.85</v>
      </c>
      <c r="N41" s="123">
        <v>44.42</v>
      </c>
      <c r="O41" s="124">
        <f t="shared" si="0"/>
        <v>328.5</v>
      </c>
      <c r="P41" s="51" t="s">
        <v>1371</v>
      </c>
    </row>
    <row r="42" spans="1:16" x14ac:dyDescent="0.3">
      <c r="A42" s="16">
        <v>4116</v>
      </c>
      <c r="B42" s="29" t="s">
        <v>557</v>
      </c>
      <c r="C42" s="29">
        <v>75253329</v>
      </c>
      <c r="D42" s="29" t="s">
        <v>482</v>
      </c>
      <c r="E42" s="45" t="s">
        <v>480</v>
      </c>
      <c r="F42" s="29" t="s">
        <v>129</v>
      </c>
      <c r="G42" s="122">
        <v>9</v>
      </c>
      <c r="H42" s="122">
        <v>0</v>
      </c>
      <c r="I42" s="123">
        <v>0</v>
      </c>
      <c r="J42" s="122">
        <v>0</v>
      </c>
      <c r="K42" s="122">
        <v>0</v>
      </c>
      <c r="L42" s="122">
        <v>0</v>
      </c>
      <c r="M42" s="123">
        <v>22</v>
      </c>
      <c r="N42" s="123">
        <v>29.91</v>
      </c>
      <c r="O42" s="124">
        <f t="shared" si="0"/>
        <v>198</v>
      </c>
      <c r="P42" s="51" t="s">
        <v>1371</v>
      </c>
    </row>
    <row r="43" spans="1:16" x14ac:dyDescent="0.3">
      <c r="A43" s="16">
        <v>4173</v>
      </c>
      <c r="B43" s="29" t="s">
        <v>539</v>
      </c>
      <c r="C43" s="29">
        <v>75214932</v>
      </c>
      <c r="D43" s="29" t="s">
        <v>479</v>
      </c>
      <c r="E43" s="45" t="s">
        <v>480</v>
      </c>
      <c r="F43" s="29" t="s">
        <v>129</v>
      </c>
      <c r="G43" s="122">
        <v>8</v>
      </c>
      <c r="H43" s="122">
        <v>0</v>
      </c>
      <c r="I43" s="123">
        <v>0</v>
      </c>
      <c r="J43" s="122">
        <v>0</v>
      </c>
      <c r="K43" s="122">
        <v>0</v>
      </c>
      <c r="L43" s="122">
        <v>0</v>
      </c>
      <c r="M43" s="123">
        <v>45.54</v>
      </c>
      <c r="N43" s="123">
        <v>61.61</v>
      </c>
      <c r="O43" s="124">
        <f t="shared" si="0"/>
        <v>364.32</v>
      </c>
      <c r="P43" s="51" t="s">
        <v>1371</v>
      </c>
    </row>
    <row r="44" spans="1:16" x14ac:dyDescent="0.3">
      <c r="A44" s="16">
        <v>4491</v>
      </c>
      <c r="B44" s="29" t="s">
        <v>559</v>
      </c>
      <c r="C44" s="29">
        <v>75253328</v>
      </c>
      <c r="D44" s="29" t="s">
        <v>483</v>
      </c>
      <c r="E44" s="45" t="s">
        <v>480</v>
      </c>
      <c r="F44" s="29" t="s">
        <v>129</v>
      </c>
      <c r="G44" s="122">
        <v>8</v>
      </c>
      <c r="H44" s="122">
        <v>0</v>
      </c>
      <c r="I44" s="123">
        <v>0</v>
      </c>
      <c r="J44" s="122">
        <v>0</v>
      </c>
      <c r="K44" s="122">
        <v>0</v>
      </c>
      <c r="L44" s="122">
        <v>0</v>
      </c>
      <c r="M44" s="123">
        <v>32.85</v>
      </c>
      <c r="N44" s="123">
        <v>44.42</v>
      </c>
      <c r="O44" s="124">
        <f t="shared" si="0"/>
        <v>262.8</v>
      </c>
      <c r="P44" s="51" t="s">
        <v>1371</v>
      </c>
    </row>
    <row r="45" spans="1:16" x14ac:dyDescent="0.3">
      <c r="A45" s="16">
        <v>1054</v>
      </c>
      <c r="B45" s="29" t="s">
        <v>524</v>
      </c>
      <c r="C45" s="29">
        <v>75253329</v>
      </c>
      <c r="D45" s="29" t="s">
        <v>482</v>
      </c>
      <c r="E45" s="45" t="s">
        <v>480</v>
      </c>
      <c r="F45" s="29" t="s">
        <v>129</v>
      </c>
      <c r="G45" s="122">
        <v>8</v>
      </c>
      <c r="H45" s="122">
        <v>0</v>
      </c>
      <c r="I45" s="123">
        <v>0</v>
      </c>
      <c r="J45" s="122">
        <v>0</v>
      </c>
      <c r="K45" s="122">
        <v>0</v>
      </c>
      <c r="L45" s="122">
        <v>0</v>
      </c>
      <c r="M45" s="123">
        <v>22</v>
      </c>
      <c r="N45" s="123">
        <v>29.91</v>
      </c>
      <c r="O45" s="124">
        <f t="shared" si="0"/>
        <v>176</v>
      </c>
      <c r="P45" s="51" t="s">
        <v>1371</v>
      </c>
    </row>
    <row r="46" spans="1:16" x14ac:dyDescent="0.3">
      <c r="A46" s="16">
        <v>458</v>
      </c>
      <c r="B46" s="29" t="s">
        <v>548</v>
      </c>
      <c r="C46" s="29">
        <v>75214932</v>
      </c>
      <c r="D46" s="29" t="s">
        <v>479</v>
      </c>
      <c r="E46" s="45" t="s">
        <v>480</v>
      </c>
      <c r="F46" s="29" t="s">
        <v>129</v>
      </c>
      <c r="G46" s="122">
        <v>7</v>
      </c>
      <c r="H46" s="122">
        <v>0</v>
      </c>
      <c r="I46" s="123">
        <v>0</v>
      </c>
      <c r="J46" s="122">
        <v>0</v>
      </c>
      <c r="K46" s="122">
        <v>0</v>
      </c>
      <c r="L46" s="122">
        <v>0</v>
      </c>
      <c r="M46" s="123">
        <v>45.54</v>
      </c>
      <c r="N46" s="123">
        <v>61.61</v>
      </c>
      <c r="O46" s="124">
        <f t="shared" si="0"/>
        <v>318.77999999999997</v>
      </c>
      <c r="P46" s="51" t="s">
        <v>1371</v>
      </c>
    </row>
    <row r="47" spans="1:16" x14ac:dyDescent="0.3">
      <c r="A47" s="16">
        <v>948</v>
      </c>
      <c r="B47" s="29" t="s">
        <v>553</v>
      </c>
      <c r="C47" s="29">
        <v>75214932</v>
      </c>
      <c r="D47" s="29" t="s">
        <v>479</v>
      </c>
      <c r="E47" s="45" t="s">
        <v>480</v>
      </c>
      <c r="F47" s="29" t="s">
        <v>129</v>
      </c>
      <c r="G47" s="122">
        <v>6</v>
      </c>
      <c r="H47" s="122">
        <v>0</v>
      </c>
      <c r="I47" s="123">
        <v>0</v>
      </c>
      <c r="J47" s="122">
        <v>0</v>
      </c>
      <c r="K47" s="122">
        <v>0</v>
      </c>
      <c r="L47" s="122">
        <v>0</v>
      </c>
      <c r="M47" s="123">
        <v>45.54</v>
      </c>
      <c r="N47" s="123">
        <v>61.61</v>
      </c>
      <c r="O47" s="124">
        <f t="shared" si="0"/>
        <v>273.24</v>
      </c>
      <c r="P47" s="51" t="s">
        <v>1371</v>
      </c>
    </row>
    <row r="48" spans="1:16" x14ac:dyDescent="0.3">
      <c r="A48" s="16">
        <v>727</v>
      </c>
      <c r="B48" s="29" t="s">
        <v>518</v>
      </c>
      <c r="C48" s="29">
        <v>75214932</v>
      </c>
      <c r="D48" s="29" t="s">
        <v>479</v>
      </c>
      <c r="E48" s="45" t="s">
        <v>480</v>
      </c>
      <c r="F48" s="29" t="s">
        <v>129</v>
      </c>
      <c r="G48" s="122">
        <v>5</v>
      </c>
      <c r="H48" s="122">
        <v>0</v>
      </c>
      <c r="I48" s="123">
        <v>0</v>
      </c>
      <c r="J48" s="122">
        <v>0</v>
      </c>
      <c r="K48" s="122">
        <v>0</v>
      </c>
      <c r="L48" s="122">
        <v>0</v>
      </c>
      <c r="M48" s="123">
        <v>45.54</v>
      </c>
      <c r="N48" s="123">
        <v>61.61</v>
      </c>
      <c r="O48" s="124">
        <f t="shared" si="0"/>
        <v>227.7</v>
      </c>
      <c r="P48" s="51" t="s">
        <v>1371</v>
      </c>
    </row>
    <row r="49" spans="1:16" x14ac:dyDescent="0.3">
      <c r="A49" s="16">
        <v>4087</v>
      </c>
      <c r="B49" s="29" t="s">
        <v>532</v>
      </c>
      <c r="C49" s="29">
        <v>75244435</v>
      </c>
      <c r="D49" s="29" t="s">
        <v>488</v>
      </c>
      <c r="E49" s="45" t="s">
        <v>480</v>
      </c>
      <c r="F49" s="29" t="s">
        <v>129</v>
      </c>
      <c r="G49" s="122">
        <v>5</v>
      </c>
      <c r="H49" s="122">
        <v>0</v>
      </c>
      <c r="I49" s="123">
        <v>0</v>
      </c>
      <c r="J49" s="122">
        <v>0</v>
      </c>
      <c r="K49" s="122">
        <v>0</v>
      </c>
      <c r="L49" s="122">
        <v>0</v>
      </c>
      <c r="M49" s="123">
        <v>32.85</v>
      </c>
      <c r="N49" s="123">
        <v>44.64</v>
      </c>
      <c r="O49" s="124">
        <f t="shared" si="0"/>
        <v>164.25</v>
      </c>
      <c r="P49" s="51" t="s">
        <v>1371</v>
      </c>
    </row>
    <row r="50" spans="1:16" x14ac:dyDescent="0.3">
      <c r="A50" s="16">
        <v>21</v>
      </c>
      <c r="B50" s="29" t="s">
        <v>550</v>
      </c>
      <c r="C50" s="29">
        <v>75253328</v>
      </c>
      <c r="D50" s="29" t="s">
        <v>483</v>
      </c>
      <c r="E50" s="45" t="s">
        <v>480</v>
      </c>
      <c r="F50" s="29" t="s">
        <v>129</v>
      </c>
      <c r="G50" s="122">
        <v>5</v>
      </c>
      <c r="H50" s="122">
        <v>0</v>
      </c>
      <c r="I50" s="123">
        <v>0</v>
      </c>
      <c r="J50" s="122">
        <v>0</v>
      </c>
      <c r="K50" s="122">
        <v>0</v>
      </c>
      <c r="L50" s="122">
        <v>0</v>
      </c>
      <c r="M50" s="123">
        <v>32.85</v>
      </c>
      <c r="N50" s="123">
        <v>44.42</v>
      </c>
      <c r="O50" s="124">
        <f t="shared" si="0"/>
        <v>164.25</v>
      </c>
      <c r="P50" s="51" t="s">
        <v>1371</v>
      </c>
    </row>
    <row r="51" spans="1:16" x14ac:dyDescent="0.3">
      <c r="A51" s="16">
        <v>4116</v>
      </c>
      <c r="B51" s="29" t="s">
        <v>557</v>
      </c>
      <c r="C51" s="29">
        <v>75253328</v>
      </c>
      <c r="D51" s="29" t="s">
        <v>483</v>
      </c>
      <c r="E51" s="45" t="s">
        <v>480</v>
      </c>
      <c r="F51" s="29" t="s">
        <v>129</v>
      </c>
      <c r="G51" s="122">
        <v>5</v>
      </c>
      <c r="H51" s="122">
        <v>0</v>
      </c>
      <c r="I51" s="123">
        <v>0</v>
      </c>
      <c r="J51" s="122">
        <v>0</v>
      </c>
      <c r="K51" s="122">
        <v>0</v>
      </c>
      <c r="L51" s="122">
        <v>0</v>
      </c>
      <c r="M51" s="123">
        <v>32.85</v>
      </c>
      <c r="N51" s="123">
        <v>44.42</v>
      </c>
      <c r="O51" s="124">
        <f t="shared" si="0"/>
        <v>164.25</v>
      </c>
      <c r="P51" s="51" t="s">
        <v>1371</v>
      </c>
    </row>
    <row r="52" spans="1:16" x14ac:dyDescent="0.3">
      <c r="A52" s="16">
        <v>727</v>
      </c>
      <c r="B52" s="29" t="s">
        <v>518</v>
      </c>
      <c r="C52" s="29">
        <v>75244433</v>
      </c>
      <c r="D52" s="29" t="s">
        <v>491</v>
      </c>
      <c r="E52" s="45" t="s">
        <v>480</v>
      </c>
      <c r="F52" s="29" t="s">
        <v>129</v>
      </c>
      <c r="G52" s="122">
        <v>4</v>
      </c>
      <c r="H52" s="122">
        <v>0</v>
      </c>
      <c r="I52" s="123">
        <v>0</v>
      </c>
      <c r="J52" s="122">
        <v>0</v>
      </c>
      <c r="K52" s="122">
        <v>0</v>
      </c>
      <c r="L52" s="122">
        <v>0</v>
      </c>
      <c r="M52" s="123">
        <v>32.85</v>
      </c>
      <c r="N52" s="123">
        <v>44.64</v>
      </c>
      <c r="O52" s="124">
        <f t="shared" si="0"/>
        <v>131.4</v>
      </c>
      <c r="P52" s="51" t="s">
        <v>1371</v>
      </c>
    </row>
    <row r="53" spans="1:16" x14ac:dyDescent="0.3">
      <c r="A53" s="16">
        <v>180</v>
      </c>
      <c r="B53" s="29" t="s">
        <v>528</v>
      </c>
      <c r="C53" s="29">
        <v>75253328</v>
      </c>
      <c r="D53" s="29" t="s">
        <v>483</v>
      </c>
      <c r="E53" s="45" t="s">
        <v>480</v>
      </c>
      <c r="F53" s="29" t="s">
        <v>129</v>
      </c>
      <c r="G53" s="122">
        <v>4</v>
      </c>
      <c r="H53" s="122">
        <v>0</v>
      </c>
      <c r="I53" s="123">
        <v>0</v>
      </c>
      <c r="J53" s="122">
        <v>0</v>
      </c>
      <c r="K53" s="122">
        <v>0</v>
      </c>
      <c r="L53" s="122">
        <v>0</v>
      </c>
      <c r="M53" s="123">
        <v>32.85</v>
      </c>
      <c r="N53" s="123">
        <v>44.42</v>
      </c>
      <c r="O53" s="124">
        <f t="shared" si="0"/>
        <v>131.4</v>
      </c>
      <c r="P53" s="51" t="s">
        <v>1371</v>
      </c>
    </row>
    <row r="54" spans="1:16" x14ac:dyDescent="0.3">
      <c r="A54" s="16">
        <v>21</v>
      </c>
      <c r="B54" s="29" t="s">
        <v>550</v>
      </c>
      <c r="C54" s="29">
        <v>75214932</v>
      </c>
      <c r="D54" s="29" t="s">
        <v>479</v>
      </c>
      <c r="E54" s="45" t="s">
        <v>480</v>
      </c>
      <c r="F54" s="29" t="s">
        <v>129</v>
      </c>
      <c r="G54" s="122">
        <v>3</v>
      </c>
      <c r="H54" s="122">
        <v>0</v>
      </c>
      <c r="I54" s="123">
        <v>0</v>
      </c>
      <c r="J54" s="122">
        <v>0</v>
      </c>
      <c r="K54" s="122">
        <v>0</v>
      </c>
      <c r="L54" s="122">
        <v>0</v>
      </c>
      <c r="M54" s="123">
        <v>45.54</v>
      </c>
      <c r="N54" s="123">
        <v>61.61</v>
      </c>
      <c r="O54" s="124">
        <f t="shared" si="0"/>
        <v>136.62</v>
      </c>
      <c r="P54" s="51" t="s">
        <v>1371</v>
      </c>
    </row>
    <row r="55" spans="1:16" x14ac:dyDescent="0.3">
      <c r="A55" s="16">
        <v>457</v>
      </c>
      <c r="B55" s="29" t="s">
        <v>511</v>
      </c>
      <c r="C55" s="29">
        <v>75214932</v>
      </c>
      <c r="D55" s="29" t="s">
        <v>479</v>
      </c>
      <c r="E55" s="45" t="s">
        <v>480</v>
      </c>
      <c r="F55" s="29" t="s">
        <v>129</v>
      </c>
      <c r="G55" s="122">
        <v>2</v>
      </c>
      <c r="H55" s="122">
        <v>0</v>
      </c>
      <c r="I55" s="123">
        <v>0</v>
      </c>
      <c r="J55" s="122">
        <v>0</v>
      </c>
      <c r="K55" s="122">
        <v>0</v>
      </c>
      <c r="L55" s="122">
        <v>0</v>
      </c>
      <c r="M55" s="123">
        <v>45.54</v>
      </c>
      <c r="N55" s="123">
        <v>61.61</v>
      </c>
      <c r="O55" s="124">
        <f t="shared" si="0"/>
        <v>91.08</v>
      </c>
      <c r="P55" s="51" t="s">
        <v>1371</v>
      </c>
    </row>
    <row r="56" spans="1:16" x14ac:dyDescent="0.3">
      <c r="A56" s="16">
        <v>4176</v>
      </c>
      <c r="B56" s="29" t="s">
        <v>536</v>
      </c>
      <c r="C56" s="29">
        <v>75214932</v>
      </c>
      <c r="D56" s="29" t="s">
        <v>479</v>
      </c>
      <c r="E56" s="45" t="s">
        <v>480</v>
      </c>
      <c r="F56" s="29" t="s">
        <v>129</v>
      </c>
      <c r="G56" s="122">
        <v>2</v>
      </c>
      <c r="H56" s="122">
        <v>0</v>
      </c>
      <c r="I56" s="123">
        <v>0</v>
      </c>
      <c r="J56" s="122">
        <v>0</v>
      </c>
      <c r="K56" s="122">
        <v>0</v>
      </c>
      <c r="L56" s="122">
        <v>0</v>
      </c>
      <c r="M56" s="123">
        <v>45.54</v>
      </c>
      <c r="N56" s="123">
        <v>61.61</v>
      </c>
      <c r="O56" s="124">
        <f t="shared" si="0"/>
        <v>91.08</v>
      </c>
      <c r="P56" s="51" t="s">
        <v>1371</v>
      </c>
    </row>
    <row r="57" spans="1:16" x14ac:dyDescent="0.3">
      <c r="A57" s="16">
        <v>33</v>
      </c>
      <c r="B57" s="29" t="s">
        <v>526</v>
      </c>
      <c r="C57" s="29">
        <v>75244435</v>
      </c>
      <c r="D57" s="29" t="s">
        <v>488</v>
      </c>
      <c r="E57" s="45" t="s">
        <v>480</v>
      </c>
      <c r="F57" s="29" t="s">
        <v>129</v>
      </c>
      <c r="G57" s="122">
        <v>2</v>
      </c>
      <c r="H57" s="122">
        <v>0</v>
      </c>
      <c r="I57" s="123">
        <v>0</v>
      </c>
      <c r="J57" s="122">
        <v>0</v>
      </c>
      <c r="K57" s="122">
        <v>0</v>
      </c>
      <c r="L57" s="122">
        <v>0</v>
      </c>
      <c r="M57" s="123">
        <v>32.85</v>
      </c>
      <c r="N57" s="123">
        <v>44.64</v>
      </c>
      <c r="O57" s="124">
        <f t="shared" si="0"/>
        <v>65.7</v>
      </c>
      <c r="P57" s="51" t="s">
        <v>1371</v>
      </c>
    </row>
    <row r="58" spans="1:16" x14ac:dyDescent="0.3">
      <c r="A58" s="16">
        <v>46</v>
      </c>
      <c r="B58" s="29" t="s">
        <v>519</v>
      </c>
      <c r="C58" s="29">
        <v>75244435</v>
      </c>
      <c r="D58" s="29" t="s">
        <v>488</v>
      </c>
      <c r="E58" s="45" t="s">
        <v>480</v>
      </c>
      <c r="F58" s="29" t="s">
        <v>129</v>
      </c>
      <c r="G58" s="122">
        <v>2</v>
      </c>
      <c r="H58" s="122">
        <v>0</v>
      </c>
      <c r="I58" s="123">
        <v>0</v>
      </c>
      <c r="J58" s="122">
        <v>0</v>
      </c>
      <c r="K58" s="122">
        <v>0</v>
      </c>
      <c r="L58" s="122">
        <v>0</v>
      </c>
      <c r="M58" s="123">
        <v>32.85</v>
      </c>
      <c r="N58" s="123">
        <v>44.64</v>
      </c>
      <c r="O58" s="124">
        <f t="shared" si="0"/>
        <v>65.7</v>
      </c>
      <c r="P58" s="51" t="s">
        <v>1371</v>
      </c>
    </row>
    <row r="59" spans="1:16" x14ac:dyDescent="0.3">
      <c r="A59" s="16">
        <v>4491</v>
      </c>
      <c r="B59" s="29" t="s">
        <v>559</v>
      </c>
      <c r="C59" s="29">
        <v>75244436</v>
      </c>
      <c r="D59" s="29" t="s">
        <v>490</v>
      </c>
      <c r="E59" s="45" t="s">
        <v>480</v>
      </c>
      <c r="F59" s="29" t="s">
        <v>129</v>
      </c>
      <c r="G59" s="122">
        <v>2</v>
      </c>
      <c r="H59" s="122">
        <v>0</v>
      </c>
      <c r="I59" s="123">
        <v>0</v>
      </c>
      <c r="J59" s="122">
        <v>0</v>
      </c>
      <c r="K59" s="122">
        <v>0</v>
      </c>
      <c r="L59" s="122">
        <v>0</v>
      </c>
      <c r="M59" s="123">
        <v>32.85</v>
      </c>
      <c r="N59" s="123">
        <v>44.64</v>
      </c>
      <c r="O59" s="124">
        <f t="shared" si="0"/>
        <v>65.7</v>
      </c>
      <c r="P59" s="51" t="s">
        <v>1371</v>
      </c>
    </row>
    <row r="60" spans="1:16" x14ac:dyDescent="0.3">
      <c r="A60" s="16">
        <v>23</v>
      </c>
      <c r="B60" s="29" t="s">
        <v>521</v>
      </c>
      <c r="C60" s="29">
        <v>75253328</v>
      </c>
      <c r="D60" s="29" t="s">
        <v>483</v>
      </c>
      <c r="E60" s="45" t="s">
        <v>480</v>
      </c>
      <c r="F60" s="29" t="s">
        <v>129</v>
      </c>
      <c r="G60" s="122">
        <v>2</v>
      </c>
      <c r="H60" s="122">
        <v>0</v>
      </c>
      <c r="I60" s="123">
        <v>0</v>
      </c>
      <c r="J60" s="122">
        <v>0</v>
      </c>
      <c r="K60" s="122">
        <v>0</v>
      </c>
      <c r="L60" s="122">
        <v>0</v>
      </c>
      <c r="M60" s="123">
        <v>32.85</v>
      </c>
      <c r="N60" s="123">
        <v>44.42</v>
      </c>
      <c r="O60" s="124">
        <f t="shared" si="0"/>
        <v>65.7</v>
      </c>
      <c r="P60" s="51" t="s">
        <v>1371</v>
      </c>
    </row>
    <row r="61" spans="1:16" x14ac:dyDescent="0.3">
      <c r="A61" s="16">
        <v>33</v>
      </c>
      <c r="B61" s="29" t="s">
        <v>526</v>
      </c>
      <c r="C61" s="29">
        <v>75253328</v>
      </c>
      <c r="D61" s="29" t="s">
        <v>483</v>
      </c>
      <c r="E61" s="45" t="s">
        <v>480</v>
      </c>
      <c r="F61" s="29" t="s">
        <v>129</v>
      </c>
      <c r="G61" s="122">
        <v>2</v>
      </c>
      <c r="H61" s="122">
        <v>0</v>
      </c>
      <c r="I61" s="123">
        <v>0</v>
      </c>
      <c r="J61" s="122">
        <v>0</v>
      </c>
      <c r="K61" s="122">
        <v>0</v>
      </c>
      <c r="L61" s="122">
        <v>0</v>
      </c>
      <c r="M61" s="123">
        <v>32.85</v>
      </c>
      <c r="N61" s="123">
        <v>44.42</v>
      </c>
      <c r="O61" s="124">
        <f t="shared" si="0"/>
        <v>65.7</v>
      </c>
      <c r="P61" s="51" t="s">
        <v>1371</v>
      </c>
    </row>
    <row r="62" spans="1:16" x14ac:dyDescent="0.3">
      <c r="A62" s="16">
        <v>414</v>
      </c>
      <c r="B62" s="29" t="s">
        <v>544</v>
      </c>
      <c r="C62" s="29">
        <v>75253329</v>
      </c>
      <c r="D62" s="29" t="s">
        <v>482</v>
      </c>
      <c r="E62" s="45" t="s">
        <v>480</v>
      </c>
      <c r="F62" s="29" t="s">
        <v>129</v>
      </c>
      <c r="G62" s="122">
        <v>2</v>
      </c>
      <c r="H62" s="122">
        <v>0</v>
      </c>
      <c r="I62" s="123">
        <v>0</v>
      </c>
      <c r="J62" s="122">
        <v>0</v>
      </c>
      <c r="K62" s="122">
        <v>0</v>
      </c>
      <c r="L62" s="122">
        <v>0</v>
      </c>
      <c r="M62" s="123">
        <v>22</v>
      </c>
      <c r="N62" s="123">
        <v>29.91</v>
      </c>
      <c r="O62" s="124">
        <f t="shared" si="0"/>
        <v>44</v>
      </c>
      <c r="P62" s="51" t="s">
        <v>1371</v>
      </c>
    </row>
    <row r="63" spans="1:16" x14ac:dyDescent="0.3">
      <c r="A63" s="16">
        <v>458</v>
      </c>
      <c r="B63" s="29" t="s">
        <v>548</v>
      </c>
      <c r="C63" s="29">
        <v>75253329</v>
      </c>
      <c r="D63" s="29" t="s">
        <v>482</v>
      </c>
      <c r="E63" s="45" t="s">
        <v>480</v>
      </c>
      <c r="F63" s="29" t="s">
        <v>129</v>
      </c>
      <c r="G63" s="122">
        <v>2</v>
      </c>
      <c r="H63" s="122">
        <v>0</v>
      </c>
      <c r="I63" s="123">
        <v>0</v>
      </c>
      <c r="J63" s="122">
        <v>0</v>
      </c>
      <c r="K63" s="122">
        <v>0</v>
      </c>
      <c r="L63" s="122">
        <v>0</v>
      </c>
      <c r="M63" s="123">
        <v>22</v>
      </c>
      <c r="N63" s="123">
        <v>29.91</v>
      </c>
      <c r="O63" s="124">
        <f t="shared" si="0"/>
        <v>44</v>
      </c>
      <c r="P63" s="51" t="s">
        <v>1371</v>
      </c>
    </row>
    <row r="64" spans="1:16" x14ac:dyDescent="0.3">
      <c r="A64" s="16">
        <v>169</v>
      </c>
      <c r="B64" s="29" t="s">
        <v>531</v>
      </c>
      <c r="C64" s="29">
        <v>75214932</v>
      </c>
      <c r="D64" s="29" t="s">
        <v>479</v>
      </c>
      <c r="E64" s="45" t="s">
        <v>480</v>
      </c>
      <c r="F64" s="29" t="s">
        <v>129</v>
      </c>
      <c r="G64" s="122">
        <v>1</v>
      </c>
      <c r="H64" s="122">
        <v>0</v>
      </c>
      <c r="I64" s="123">
        <v>0</v>
      </c>
      <c r="J64" s="122">
        <v>0</v>
      </c>
      <c r="K64" s="122">
        <v>0</v>
      </c>
      <c r="L64" s="122">
        <v>0</v>
      </c>
      <c r="M64" s="123">
        <v>45.54</v>
      </c>
      <c r="N64" s="123">
        <v>61.61</v>
      </c>
      <c r="O64" s="124">
        <f t="shared" si="0"/>
        <v>45.54</v>
      </c>
      <c r="P64" s="51" t="s">
        <v>1371</v>
      </c>
    </row>
    <row r="65" spans="1:16" x14ac:dyDescent="0.3">
      <c r="A65" s="16">
        <v>46</v>
      </c>
      <c r="B65" s="29" t="s">
        <v>519</v>
      </c>
      <c r="C65" s="29">
        <v>75244431</v>
      </c>
      <c r="D65" s="29" t="s">
        <v>489</v>
      </c>
      <c r="E65" s="45" t="s">
        <v>480</v>
      </c>
      <c r="F65" s="29" t="s">
        <v>129</v>
      </c>
      <c r="G65" s="122">
        <v>1</v>
      </c>
      <c r="H65" s="122">
        <v>0</v>
      </c>
      <c r="I65" s="123">
        <v>0</v>
      </c>
      <c r="J65" s="122">
        <v>0</v>
      </c>
      <c r="K65" s="122">
        <v>0</v>
      </c>
      <c r="L65" s="122">
        <v>0</v>
      </c>
      <c r="M65" s="123">
        <v>32.85</v>
      </c>
      <c r="N65" s="123">
        <v>44.64</v>
      </c>
      <c r="O65" s="124">
        <f t="shared" si="0"/>
        <v>32.85</v>
      </c>
      <c r="P65" s="51" t="s">
        <v>1371</v>
      </c>
    </row>
    <row r="66" spans="1:16" x14ac:dyDescent="0.3">
      <c r="A66" s="16">
        <v>169</v>
      </c>
      <c r="B66" s="29" t="s">
        <v>531</v>
      </c>
      <c r="C66" s="29">
        <v>75253329</v>
      </c>
      <c r="D66" s="29" t="s">
        <v>482</v>
      </c>
      <c r="E66" s="45" t="s">
        <v>480</v>
      </c>
      <c r="F66" s="29" t="s">
        <v>129</v>
      </c>
      <c r="G66" s="122">
        <v>1</v>
      </c>
      <c r="H66" s="122">
        <v>0</v>
      </c>
      <c r="I66" s="123">
        <v>0</v>
      </c>
      <c r="J66" s="122">
        <v>0</v>
      </c>
      <c r="K66" s="122">
        <v>0</v>
      </c>
      <c r="L66" s="122">
        <v>0</v>
      </c>
      <c r="M66" s="123">
        <v>22</v>
      </c>
      <c r="N66" s="123">
        <v>29.91</v>
      </c>
      <c r="O66" s="124">
        <f t="shared" si="0"/>
        <v>22</v>
      </c>
      <c r="P66" s="51" t="s">
        <v>1371</v>
      </c>
    </row>
    <row r="67" spans="1:16" x14ac:dyDescent="0.3">
      <c r="A67" s="16">
        <v>491</v>
      </c>
      <c r="B67" s="29" t="s">
        <v>514</v>
      </c>
      <c r="C67" s="29">
        <v>75214932</v>
      </c>
      <c r="D67" s="29" t="s">
        <v>479</v>
      </c>
      <c r="E67" s="45" t="s">
        <v>480</v>
      </c>
      <c r="F67" s="29" t="s">
        <v>129</v>
      </c>
      <c r="G67" s="122">
        <v>16</v>
      </c>
      <c r="H67" s="122">
        <v>1</v>
      </c>
      <c r="I67" s="123">
        <v>61.61</v>
      </c>
      <c r="J67" s="122">
        <v>0</v>
      </c>
      <c r="K67" s="122">
        <v>0</v>
      </c>
      <c r="L67" s="122">
        <v>0</v>
      </c>
      <c r="M67" s="123">
        <v>45.54</v>
      </c>
      <c r="N67" s="123">
        <v>61.61</v>
      </c>
      <c r="O67" s="124">
        <f t="shared" si="0"/>
        <v>728.64</v>
      </c>
      <c r="P67" s="43" t="s">
        <v>1372</v>
      </c>
    </row>
    <row r="68" spans="1:16" x14ac:dyDescent="0.3">
      <c r="A68" s="16">
        <v>108</v>
      </c>
      <c r="B68" s="29" t="s">
        <v>512</v>
      </c>
      <c r="C68" s="29">
        <v>75253328</v>
      </c>
      <c r="D68" s="29" t="s">
        <v>483</v>
      </c>
      <c r="E68" s="45" t="s">
        <v>480</v>
      </c>
      <c r="F68" s="29" t="s">
        <v>129</v>
      </c>
      <c r="G68" s="122">
        <v>16</v>
      </c>
      <c r="H68" s="122">
        <v>1</v>
      </c>
      <c r="I68" s="123">
        <v>22.32</v>
      </c>
      <c r="J68" s="122">
        <v>0</v>
      </c>
      <c r="K68" s="122">
        <v>0</v>
      </c>
      <c r="L68" s="122">
        <v>0</v>
      </c>
      <c r="M68" s="123">
        <v>32.85</v>
      </c>
      <c r="N68" s="123">
        <v>44.42</v>
      </c>
      <c r="O68" s="124">
        <f t="shared" ref="O68:O131" si="1">G68*M68</f>
        <v>525.6</v>
      </c>
      <c r="P68" s="43" t="s">
        <v>1372</v>
      </c>
    </row>
    <row r="69" spans="1:16" x14ac:dyDescent="0.3">
      <c r="A69" s="16">
        <v>4433</v>
      </c>
      <c r="B69" s="29" t="s">
        <v>520</v>
      </c>
      <c r="C69" s="29">
        <v>75253329</v>
      </c>
      <c r="D69" s="29" t="s">
        <v>482</v>
      </c>
      <c r="E69" s="45" t="s">
        <v>480</v>
      </c>
      <c r="F69" s="29" t="s">
        <v>129</v>
      </c>
      <c r="G69" s="122">
        <v>16</v>
      </c>
      <c r="H69" s="122">
        <v>1</v>
      </c>
      <c r="I69" s="123">
        <v>30.13</v>
      </c>
      <c r="J69" s="122">
        <v>0</v>
      </c>
      <c r="K69" s="122">
        <v>0</v>
      </c>
      <c r="L69" s="122">
        <v>0</v>
      </c>
      <c r="M69" s="123">
        <v>22</v>
      </c>
      <c r="N69" s="123">
        <v>29.91</v>
      </c>
      <c r="O69" s="124">
        <f t="shared" si="1"/>
        <v>352</v>
      </c>
      <c r="P69" s="43" t="s">
        <v>1372</v>
      </c>
    </row>
    <row r="70" spans="1:16" x14ac:dyDescent="0.3">
      <c r="A70" s="16">
        <v>4490</v>
      </c>
      <c r="B70" s="29" t="s">
        <v>537</v>
      </c>
      <c r="C70" s="29">
        <v>75253328</v>
      </c>
      <c r="D70" s="29" t="s">
        <v>483</v>
      </c>
      <c r="E70" s="45" t="s">
        <v>480</v>
      </c>
      <c r="F70" s="29" t="s">
        <v>129</v>
      </c>
      <c r="G70" s="122">
        <v>13</v>
      </c>
      <c r="H70" s="122">
        <v>2</v>
      </c>
      <c r="I70" s="123">
        <v>53.92</v>
      </c>
      <c r="J70" s="122">
        <v>0</v>
      </c>
      <c r="K70" s="122">
        <v>0</v>
      </c>
      <c r="L70" s="122">
        <v>0</v>
      </c>
      <c r="M70" s="123">
        <v>32.85</v>
      </c>
      <c r="N70" s="123">
        <v>44.42</v>
      </c>
      <c r="O70" s="124">
        <f t="shared" si="1"/>
        <v>427.05</v>
      </c>
      <c r="P70" s="43" t="s">
        <v>1372</v>
      </c>
    </row>
    <row r="71" spans="1:16" x14ac:dyDescent="0.3">
      <c r="A71" s="16">
        <v>23</v>
      </c>
      <c r="B71" s="29" t="s">
        <v>521</v>
      </c>
      <c r="C71" s="29">
        <v>75214932</v>
      </c>
      <c r="D71" s="29" t="s">
        <v>479</v>
      </c>
      <c r="E71" s="45" t="s">
        <v>480</v>
      </c>
      <c r="F71" s="29" t="s">
        <v>129</v>
      </c>
      <c r="G71" s="122">
        <v>12</v>
      </c>
      <c r="H71" s="122">
        <v>8</v>
      </c>
      <c r="I71" s="123">
        <v>342.87</v>
      </c>
      <c r="J71" s="122">
        <v>0</v>
      </c>
      <c r="K71" s="122">
        <v>0</v>
      </c>
      <c r="L71" s="122">
        <v>0</v>
      </c>
      <c r="M71" s="123">
        <v>45.54</v>
      </c>
      <c r="N71" s="123">
        <v>61.61</v>
      </c>
      <c r="O71" s="124">
        <f t="shared" si="1"/>
        <v>546.48</v>
      </c>
      <c r="P71" s="43" t="s">
        <v>1372</v>
      </c>
    </row>
    <row r="72" spans="1:16" x14ac:dyDescent="0.3">
      <c r="A72" s="16">
        <v>419</v>
      </c>
      <c r="B72" s="29" t="s">
        <v>534</v>
      </c>
      <c r="C72" s="29">
        <v>75253328</v>
      </c>
      <c r="D72" s="29" t="s">
        <v>483</v>
      </c>
      <c r="E72" s="45" t="s">
        <v>480</v>
      </c>
      <c r="F72" s="29" t="s">
        <v>129</v>
      </c>
      <c r="G72" s="122">
        <v>11</v>
      </c>
      <c r="H72" s="122">
        <v>1</v>
      </c>
      <c r="I72" s="123">
        <v>22.32</v>
      </c>
      <c r="J72" s="122">
        <v>0</v>
      </c>
      <c r="K72" s="122">
        <v>0</v>
      </c>
      <c r="L72" s="122">
        <v>0</v>
      </c>
      <c r="M72" s="123">
        <v>32.85</v>
      </c>
      <c r="N72" s="123">
        <v>44.42</v>
      </c>
      <c r="O72" s="124">
        <f t="shared" si="1"/>
        <v>361.35</v>
      </c>
      <c r="P72" s="43" t="s">
        <v>1372</v>
      </c>
    </row>
    <row r="73" spans="1:16" x14ac:dyDescent="0.3">
      <c r="A73" s="16">
        <v>419</v>
      </c>
      <c r="B73" s="29" t="s">
        <v>534</v>
      </c>
      <c r="C73" s="29">
        <v>75253329</v>
      </c>
      <c r="D73" s="29" t="s">
        <v>482</v>
      </c>
      <c r="E73" s="45" t="s">
        <v>480</v>
      </c>
      <c r="F73" s="29" t="s">
        <v>129</v>
      </c>
      <c r="G73" s="122">
        <v>8</v>
      </c>
      <c r="H73" s="122">
        <v>1</v>
      </c>
      <c r="I73" s="123">
        <v>30.13</v>
      </c>
      <c r="J73" s="122">
        <v>0</v>
      </c>
      <c r="K73" s="122">
        <v>0</v>
      </c>
      <c r="L73" s="122">
        <v>0</v>
      </c>
      <c r="M73" s="123">
        <v>22</v>
      </c>
      <c r="N73" s="123">
        <v>29.91</v>
      </c>
      <c r="O73" s="124">
        <f t="shared" si="1"/>
        <v>176</v>
      </c>
      <c r="P73" s="43" t="s">
        <v>1372</v>
      </c>
    </row>
    <row r="74" spans="1:16" x14ac:dyDescent="0.3">
      <c r="A74" s="16">
        <v>34</v>
      </c>
      <c r="B74" s="29" t="s">
        <v>529</v>
      </c>
      <c r="C74" s="29">
        <v>75253328</v>
      </c>
      <c r="D74" s="29" t="s">
        <v>483</v>
      </c>
      <c r="E74" s="45" t="s">
        <v>480</v>
      </c>
      <c r="F74" s="29" t="s">
        <v>129</v>
      </c>
      <c r="G74" s="122">
        <v>7</v>
      </c>
      <c r="H74" s="122">
        <v>1</v>
      </c>
      <c r="I74" s="123">
        <v>22.32</v>
      </c>
      <c r="J74" s="122">
        <v>0</v>
      </c>
      <c r="K74" s="122">
        <v>0</v>
      </c>
      <c r="L74" s="122">
        <v>0</v>
      </c>
      <c r="M74" s="123">
        <v>32.85</v>
      </c>
      <c r="N74" s="123">
        <v>44.42</v>
      </c>
      <c r="O74" s="124">
        <f t="shared" si="1"/>
        <v>229.95000000000002</v>
      </c>
      <c r="P74" s="43" t="s">
        <v>1372</v>
      </c>
    </row>
    <row r="75" spans="1:16" x14ac:dyDescent="0.3">
      <c r="A75" s="16">
        <v>20</v>
      </c>
      <c r="B75" s="29" t="s">
        <v>552</v>
      </c>
      <c r="C75" s="29">
        <v>75214932</v>
      </c>
      <c r="D75" s="29" t="s">
        <v>479</v>
      </c>
      <c r="E75" s="45" t="s">
        <v>480</v>
      </c>
      <c r="F75" s="29" t="s">
        <v>129</v>
      </c>
      <c r="G75" s="122">
        <v>5</v>
      </c>
      <c r="H75" s="122">
        <v>2</v>
      </c>
      <c r="I75" s="123">
        <v>123.22</v>
      </c>
      <c r="J75" s="122">
        <v>0</v>
      </c>
      <c r="K75" s="122">
        <v>0</v>
      </c>
      <c r="L75" s="122">
        <v>0</v>
      </c>
      <c r="M75" s="123">
        <v>45.54</v>
      </c>
      <c r="N75" s="123">
        <v>61.61</v>
      </c>
      <c r="O75" s="124">
        <f t="shared" si="1"/>
        <v>227.7</v>
      </c>
      <c r="P75" s="43" t="s">
        <v>1372</v>
      </c>
    </row>
    <row r="76" spans="1:16" x14ac:dyDescent="0.3">
      <c r="A76" s="16">
        <v>458</v>
      </c>
      <c r="B76" s="29" t="s">
        <v>548</v>
      </c>
      <c r="C76" s="29">
        <v>75253328</v>
      </c>
      <c r="D76" s="29" t="s">
        <v>483</v>
      </c>
      <c r="E76" s="45" t="s">
        <v>480</v>
      </c>
      <c r="F76" s="29" t="s">
        <v>129</v>
      </c>
      <c r="G76" s="122">
        <v>5</v>
      </c>
      <c r="H76" s="122">
        <v>3</v>
      </c>
      <c r="I76" s="123">
        <v>80.37</v>
      </c>
      <c r="J76" s="122">
        <v>0</v>
      </c>
      <c r="K76" s="122">
        <v>0</v>
      </c>
      <c r="L76" s="122">
        <v>0</v>
      </c>
      <c r="M76" s="123">
        <v>32.85</v>
      </c>
      <c r="N76" s="123">
        <v>44.42</v>
      </c>
      <c r="O76" s="124">
        <f t="shared" si="1"/>
        <v>164.25</v>
      </c>
      <c r="P76" s="43" t="s">
        <v>1372</v>
      </c>
    </row>
    <row r="77" spans="1:16" x14ac:dyDescent="0.3">
      <c r="A77" s="16">
        <v>4176</v>
      </c>
      <c r="B77" s="29" t="s">
        <v>536</v>
      </c>
      <c r="C77" s="29">
        <v>75253328</v>
      </c>
      <c r="D77" s="29" t="s">
        <v>483</v>
      </c>
      <c r="E77" s="45" t="s">
        <v>480</v>
      </c>
      <c r="F77" s="29" t="s">
        <v>129</v>
      </c>
      <c r="G77" s="122">
        <v>3</v>
      </c>
      <c r="H77" s="122">
        <v>2</v>
      </c>
      <c r="I77" s="123">
        <v>53.92</v>
      </c>
      <c r="J77" s="122">
        <v>0</v>
      </c>
      <c r="K77" s="122">
        <v>0</v>
      </c>
      <c r="L77" s="122">
        <v>0</v>
      </c>
      <c r="M77" s="123">
        <v>32.85</v>
      </c>
      <c r="N77" s="123">
        <v>44.42</v>
      </c>
      <c r="O77" s="124">
        <f t="shared" si="1"/>
        <v>98.550000000000011</v>
      </c>
      <c r="P77" s="43" t="s">
        <v>1372</v>
      </c>
    </row>
    <row r="78" spans="1:16" x14ac:dyDescent="0.3">
      <c r="A78" s="16">
        <v>169</v>
      </c>
      <c r="B78" s="29" t="s">
        <v>531</v>
      </c>
      <c r="C78" s="29">
        <v>75253328</v>
      </c>
      <c r="D78" s="29" t="s">
        <v>483</v>
      </c>
      <c r="E78" s="45" t="s">
        <v>480</v>
      </c>
      <c r="F78" s="29" t="s">
        <v>129</v>
      </c>
      <c r="G78" s="122">
        <v>1</v>
      </c>
      <c r="H78" s="122">
        <v>3</v>
      </c>
      <c r="I78" s="123">
        <v>66.959999999999994</v>
      </c>
      <c r="J78" s="122">
        <v>0</v>
      </c>
      <c r="K78" s="122">
        <v>0</v>
      </c>
      <c r="L78" s="122">
        <v>0</v>
      </c>
      <c r="M78" s="123">
        <v>32.85</v>
      </c>
      <c r="N78" s="123">
        <v>44.42</v>
      </c>
      <c r="O78" s="124">
        <f t="shared" si="1"/>
        <v>32.85</v>
      </c>
      <c r="P78" s="43" t="s">
        <v>1372</v>
      </c>
    </row>
    <row r="79" spans="1:16" x14ac:dyDescent="0.3">
      <c r="A79" s="16">
        <v>21</v>
      </c>
      <c r="B79" s="29" t="s">
        <v>550</v>
      </c>
      <c r="C79" s="29">
        <v>75214931</v>
      </c>
      <c r="D79" s="29" t="s">
        <v>472</v>
      </c>
      <c r="E79" s="45" t="s">
        <v>480</v>
      </c>
      <c r="F79" s="29" t="s">
        <v>1278</v>
      </c>
      <c r="G79" s="122">
        <v>0</v>
      </c>
      <c r="H79" s="122">
        <v>1</v>
      </c>
      <c r="I79" s="123">
        <v>66.34</v>
      </c>
      <c r="J79" s="122">
        <v>0</v>
      </c>
      <c r="K79" s="122">
        <v>0</v>
      </c>
      <c r="L79" s="122">
        <v>0</v>
      </c>
      <c r="M79" s="123">
        <v>45.54</v>
      </c>
      <c r="N79" s="123">
        <v>66.069999999999993</v>
      </c>
      <c r="O79" s="124">
        <f t="shared" si="1"/>
        <v>0</v>
      </c>
      <c r="P79" s="44" t="s">
        <v>1373</v>
      </c>
    </row>
    <row r="80" spans="1:16" x14ac:dyDescent="0.3">
      <c r="A80" s="16">
        <v>457</v>
      </c>
      <c r="B80" s="29" t="s">
        <v>511</v>
      </c>
      <c r="C80" s="29">
        <v>75214931</v>
      </c>
      <c r="D80" s="29" t="s">
        <v>472</v>
      </c>
      <c r="E80" s="45" t="s">
        <v>480</v>
      </c>
      <c r="F80" s="29" t="s">
        <v>1278</v>
      </c>
      <c r="G80" s="122">
        <v>0</v>
      </c>
      <c r="H80" s="122">
        <v>1</v>
      </c>
      <c r="I80" s="123">
        <v>66.34</v>
      </c>
      <c r="J80" s="122">
        <v>0</v>
      </c>
      <c r="K80" s="122">
        <v>0</v>
      </c>
      <c r="L80" s="122">
        <v>0</v>
      </c>
      <c r="M80" s="123">
        <v>45.54</v>
      </c>
      <c r="N80" s="123">
        <v>66.069999999999993</v>
      </c>
      <c r="O80" s="124">
        <f t="shared" si="1"/>
        <v>0</v>
      </c>
      <c r="P80" s="44" t="s">
        <v>1373</v>
      </c>
    </row>
    <row r="81" spans="1:16" x14ac:dyDescent="0.3">
      <c r="A81" s="16">
        <v>4126</v>
      </c>
      <c r="B81" s="29" t="s">
        <v>547</v>
      </c>
      <c r="C81" s="29">
        <v>75214931</v>
      </c>
      <c r="D81" s="29" t="s">
        <v>472</v>
      </c>
      <c r="E81" s="45" t="s">
        <v>480</v>
      </c>
      <c r="F81" s="29" t="s">
        <v>1278</v>
      </c>
      <c r="G81" s="122">
        <v>0</v>
      </c>
      <c r="H81" s="122">
        <v>2</v>
      </c>
      <c r="I81" s="123">
        <v>132.68</v>
      </c>
      <c r="J81" s="122">
        <v>0</v>
      </c>
      <c r="K81" s="122">
        <v>0</v>
      </c>
      <c r="L81" s="122">
        <v>0</v>
      </c>
      <c r="M81" s="123">
        <v>45.54</v>
      </c>
      <c r="N81" s="123">
        <v>66.069999999999993</v>
      </c>
      <c r="O81" s="124">
        <f t="shared" si="1"/>
        <v>0</v>
      </c>
      <c r="P81" s="44" t="s">
        <v>1373</v>
      </c>
    </row>
    <row r="82" spans="1:16" x14ac:dyDescent="0.3">
      <c r="A82" s="16">
        <v>4317</v>
      </c>
      <c r="B82" s="29" t="s">
        <v>540</v>
      </c>
      <c r="C82" s="29">
        <v>75214931</v>
      </c>
      <c r="D82" s="29" t="s">
        <v>472</v>
      </c>
      <c r="E82" s="45" t="s">
        <v>480</v>
      </c>
      <c r="F82" s="29" t="s">
        <v>1278</v>
      </c>
      <c r="G82" s="122">
        <v>0</v>
      </c>
      <c r="H82" s="122">
        <v>1</v>
      </c>
      <c r="I82" s="123">
        <v>66.34</v>
      </c>
      <c r="J82" s="122">
        <v>0</v>
      </c>
      <c r="K82" s="122">
        <v>0</v>
      </c>
      <c r="L82" s="122">
        <v>0</v>
      </c>
      <c r="M82" s="123">
        <v>45.54</v>
      </c>
      <c r="N82" s="123">
        <v>66.069999999999993</v>
      </c>
      <c r="O82" s="124">
        <f t="shared" si="1"/>
        <v>0</v>
      </c>
      <c r="P82" s="44" t="s">
        <v>1373</v>
      </c>
    </row>
    <row r="83" spans="1:16" x14ac:dyDescent="0.3">
      <c r="A83" s="16">
        <v>948</v>
      </c>
      <c r="B83" s="29" t="s">
        <v>553</v>
      </c>
      <c r="C83" s="29">
        <v>75244431</v>
      </c>
      <c r="D83" s="29" t="s">
        <v>489</v>
      </c>
      <c r="E83" s="45" t="s">
        <v>480</v>
      </c>
      <c r="F83" s="29" t="s">
        <v>129</v>
      </c>
      <c r="G83" s="122">
        <v>0</v>
      </c>
      <c r="H83" s="122">
        <v>2</v>
      </c>
      <c r="I83" s="123">
        <v>0.44</v>
      </c>
      <c r="J83" s="122">
        <v>0</v>
      </c>
      <c r="K83" s="122">
        <v>0</v>
      </c>
      <c r="L83" s="122">
        <v>0</v>
      </c>
      <c r="M83" s="123">
        <v>32.85</v>
      </c>
      <c r="N83" s="123">
        <v>44.64</v>
      </c>
      <c r="O83" s="124">
        <f t="shared" si="1"/>
        <v>0</v>
      </c>
      <c r="P83" s="44" t="s">
        <v>1373</v>
      </c>
    </row>
    <row r="84" spans="1:16" x14ac:dyDescent="0.3">
      <c r="A84" s="16">
        <v>4173</v>
      </c>
      <c r="B84" s="29" t="s">
        <v>539</v>
      </c>
      <c r="C84" s="29">
        <v>75244431</v>
      </c>
      <c r="D84" s="29" t="s">
        <v>489</v>
      </c>
      <c r="E84" s="45" t="s">
        <v>480</v>
      </c>
      <c r="F84" s="29" t="s">
        <v>129</v>
      </c>
      <c r="G84" s="122">
        <v>0</v>
      </c>
      <c r="H84" s="122">
        <v>1</v>
      </c>
      <c r="I84" s="123">
        <v>17.86</v>
      </c>
      <c r="J84" s="122">
        <v>0</v>
      </c>
      <c r="K84" s="122">
        <v>0</v>
      </c>
      <c r="L84" s="122">
        <v>0</v>
      </c>
      <c r="M84" s="123">
        <v>32.85</v>
      </c>
      <c r="N84" s="123">
        <v>44.64</v>
      </c>
      <c r="O84" s="124">
        <f t="shared" si="1"/>
        <v>0</v>
      </c>
      <c r="P84" s="44" t="s">
        <v>1373</v>
      </c>
    </row>
    <row r="85" spans="1:16" x14ac:dyDescent="0.3">
      <c r="A85" s="16">
        <v>4317</v>
      </c>
      <c r="B85" s="29" t="s">
        <v>540</v>
      </c>
      <c r="C85" s="29">
        <v>75244431</v>
      </c>
      <c r="D85" s="29" t="s">
        <v>489</v>
      </c>
      <c r="E85" s="45" t="s">
        <v>480</v>
      </c>
      <c r="F85" s="29" t="s">
        <v>129</v>
      </c>
      <c r="G85" s="122">
        <v>0</v>
      </c>
      <c r="H85" s="122">
        <v>1</v>
      </c>
      <c r="I85" s="123">
        <v>17.86</v>
      </c>
      <c r="J85" s="122">
        <v>0</v>
      </c>
      <c r="K85" s="122">
        <v>0</v>
      </c>
      <c r="L85" s="122">
        <v>0</v>
      </c>
      <c r="M85" s="123">
        <v>32.85</v>
      </c>
      <c r="N85" s="123">
        <v>44.64</v>
      </c>
      <c r="O85" s="124">
        <f t="shared" si="1"/>
        <v>0</v>
      </c>
      <c r="P85" s="44" t="s">
        <v>1373</v>
      </c>
    </row>
    <row r="86" spans="1:16" x14ac:dyDescent="0.3">
      <c r="A86" s="16">
        <v>4490</v>
      </c>
      <c r="B86" s="29" t="s">
        <v>537</v>
      </c>
      <c r="C86" s="29">
        <v>75244435</v>
      </c>
      <c r="D86" s="29" t="s">
        <v>488</v>
      </c>
      <c r="E86" s="45" t="s">
        <v>480</v>
      </c>
      <c r="F86" s="29" t="s">
        <v>129</v>
      </c>
      <c r="G86" s="122">
        <v>0</v>
      </c>
      <c r="H86" s="122">
        <v>5</v>
      </c>
      <c r="I86" s="123">
        <v>147.66999999999999</v>
      </c>
      <c r="J86" s="122">
        <v>0</v>
      </c>
      <c r="K86" s="122">
        <v>0</v>
      </c>
      <c r="L86" s="122">
        <v>0</v>
      </c>
      <c r="M86" s="123">
        <v>32.85</v>
      </c>
      <c r="N86" s="123">
        <v>44.64</v>
      </c>
      <c r="O86" s="124">
        <f t="shared" si="1"/>
        <v>0</v>
      </c>
      <c r="P86" s="44" t="s">
        <v>1373</v>
      </c>
    </row>
    <row r="87" spans="1:16" x14ac:dyDescent="0.3">
      <c r="A87" s="16">
        <v>491</v>
      </c>
      <c r="B87" s="29" t="s">
        <v>514</v>
      </c>
      <c r="C87" s="29">
        <v>75253328</v>
      </c>
      <c r="D87" s="29" t="s">
        <v>483</v>
      </c>
      <c r="E87" s="45" t="s">
        <v>480</v>
      </c>
      <c r="F87" s="29" t="s">
        <v>129</v>
      </c>
      <c r="G87" s="122">
        <v>0</v>
      </c>
      <c r="H87" s="122">
        <v>2</v>
      </c>
      <c r="I87" s="123">
        <v>26.79</v>
      </c>
      <c r="J87" s="122">
        <v>0</v>
      </c>
      <c r="K87" s="122">
        <v>0</v>
      </c>
      <c r="L87" s="122">
        <v>0</v>
      </c>
      <c r="M87" s="123">
        <v>32.85</v>
      </c>
      <c r="N87" s="123">
        <v>44.42</v>
      </c>
      <c r="O87" s="124">
        <f t="shared" si="1"/>
        <v>0</v>
      </c>
      <c r="P87" s="44" t="s">
        <v>1373</v>
      </c>
    </row>
    <row r="88" spans="1:16" x14ac:dyDescent="0.3">
      <c r="A88" s="16">
        <v>4173</v>
      </c>
      <c r="B88" s="29" t="s">
        <v>539</v>
      </c>
      <c r="C88" s="29">
        <v>75253328</v>
      </c>
      <c r="D88" s="29" t="s">
        <v>483</v>
      </c>
      <c r="E88" s="45" t="s">
        <v>480</v>
      </c>
      <c r="F88" s="29" t="s">
        <v>129</v>
      </c>
      <c r="G88" s="122">
        <v>0</v>
      </c>
      <c r="H88" s="122">
        <v>1</v>
      </c>
      <c r="I88" s="123">
        <v>26.96</v>
      </c>
      <c r="J88" s="122">
        <v>0</v>
      </c>
      <c r="K88" s="122">
        <v>0</v>
      </c>
      <c r="L88" s="122">
        <v>0</v>
      </c>
      <c r="M88" s="123">
        <v>32.85</v>
      </c>
      <c r="N88" s="123">
        <v>44.42</v>
      </c>
      <c r="O88" s="124">
        <f t="shared" si="1"/>
        <v>0</v>
      </c>
      <c r="P88" s="44" t="s">
        <v>1373</v>
      </c>
    </row>
    <row r="89" spans="1:16" x14ac:dyDescent="0.3">
      <c r="A89" s="16">
        <v>121</v>
      </c>
      <c r="B89" s="29" t="s">
        <v>522</v>
      </c>
      <c r="C89" s="29">
        <v>75253329</v>
      </c>
      <c r="D89" s="29" t="s">
        <v>482</v>
      </c>
      <c r="E89" s="45" t="s">
        <v>480</v>
      </c>
      <c r="F89" s="29" t="s">
        <v>129</v>
      </c>
      <c r="G89" s="122">
        <v>0</v>
      </c>
      <c r="H89" s="122">
        <v>1</v>
      </c>
      <c r="I89" s="123">
        <v>30.13</v>
      </c>
      <c r="J89" s="122">
        <v>0</v>
      </c>
      <c r="K89" s="122">
        <v>0</v>
      </c>
      <c r="L89" s="122">
        <v>0</v>
      </c>
      <c r="M89" s="123">
        <v>22</v>
      </c>
      <c r="N89" s="123">
        <v>29.91</v>
      </c>
      <c r="O89" s="124">
        <f t="shared" si="1"/>
        <v>0</v>
      </c>
      <c r="P89" s="44" t="s">
        <v>1373</v>
      </c>
    </row>
    <row r="90" spans="1:16" x14ac:dyDescent="0.3">
      <c r="A90" s="16">
        <v>727</v>
      </c>
      <c r="B90" s="29" t="s">
        <v>518</v>
      </c>
      <c r="C90" s="29">
        <v>75253329</v>
      </c>
      <c r="D90" s="29" t="s">
        <v>482</v>
      </c>
      <c r="E90" s="45" t="s">
        <v>480</v>
      </c>
      <c r="F90" s="29" t="s">
        <v>129</v>
      </c>
      <c r="G90" s="122">
        <v>0</v>
      </c>
      <c r="H90" s="122">
        <v>1</v>
      </c>
      <c r="I90" s="123">
        <v>30.13</v>
      </c>
      <c r="J90" s="122">
        <v>0</v>
      </c>
      <c r="K90" s="122">
        <v>0</v>
      </c>
      <c r="L90" s="122">
        <v>0</v>
      </c>
      <c r="M90" s="123">
        <v>22</v>
      </c>
      <c r="N90" s="123">
        <v>29.91</v>
      </c>
      <c r="O90" s="124">
        <f t="shared" si="1"/>
        <v>0</v>
      </c>
      <c r="P90" s="44" t="s">
        <v>1373</v>
      </c>
    </row>
    <row r="91" spans="1:16" x14ac:dyDescent="0.3">
      <c r="A91" s="16">
        <v>460</v>
      </c>
      <c r="B91" s="29" t="s">
        <v>546</v>
      </c>
      <c r="C91" s="29">
        <v>75214932</v>
      </c>
      <c r="D91" s="29" t="s">
        <v>479</v>
      </c>
      <c r="E91" s="45" t="s">
        <v>480</v>
      </c>
      <c r="F91" s="29" t="s">
        <v>129</v>
      </c>
      <c r="G91" s="122">
        <v>0</v>
      </c>
      <c r="H91" s="122">
        <v>0</v>
      </c>
      <c r="I91" s="123">
        <v>0</v>
      </c>
      <c r="J91" s="122">
        <v>0</v>
      </c>
      <c r="K91" s="122">
        <v>0</v>
      </c>
      <c r="L91" s="122">
        <v>0</v>
      </c>
      <c r="M91" s="123">
        <v>45.54</v>
      </c>
      <c r="N91" s="123">
        <v>61.61</v>
      </c>
      <c r="O91" s="124">
        <f t="shared" si="1"/>
        <v>0</v>
      </c>
      <c r="P91" s="45" t="s">
        <v>1374</v>
      </c>
    </row>
    <row r="92" spans="1:16" x14ac:dyDescent="0.3">
      <c r="A92" s="16">
        <v>4116</v>
      </c>
      <c r="B92" s="29" t="s">
        <v>557</v>
      </c>
      <c r="C92" s="29">
        <v>75244435</v>
      </c>
      <c r="D92" s="29" t="s">
        <v>488</v>
      </c>
      <c r="E92" s="45" t="s">
        <v>480</v>
      </c>
      <c r="F92" s="29" t="s">
        <v>129</v>
      </c>
      <c r="G92" s="122">
        <v>-1</v>
      </c>
      <c r="H92" s="122">
        <v>0</v>
      </c>
      <c r="I92" s="123">
        <v>0</v>
      </c>
      <c r="J92" s="122">
        <v>0</v>
      </c>
      <c r="K92" s="122">
        <v>0</v>
      </c>
      <c r="L92" s="122">
        <v>0</v>
      </c>
      <c r="M92" s="123">
        <v>32.85</v>
      </c>
      <c r="N92" s="123">
        <v>44.64</v>
      </c>
      <c r="O92" s="124">
        <f t="shared" si="1"/>
        <v>-32.85</v>
      </c>
      <c r="P92" s="45" t="s">
        <v>1374</v>
      </c>
    </row>
    <row r="93" spans="1:16" x14ac:dyDescent="0.3">
      <c r="A93" s="16">
        <v>4173</v>
      </c>
      <c r="B93" s="29" t="s">
        <v>539</v>
      </c>
      <c r="C93" s="29">
        <v>75253329</v>
      </c>
      <c r="D93" s="29" t="s">
        <v>482</v>
      </c>
      <c r="E93" s="45" t="s">
        <v>480</v>
      </c>
      <c r="F93" s="29" t="s">
        <v>129</v>
      </c>
      <c r="G93" s="122">
        <v>-1</v>
      </c>
      <c r="H93" s="122">
        <v>0</v>
      </c>
      <c r="I93" s="123">
        <v>0</v>
      </c>
      <c r="J93" s="122">
        <v>0</v>
      </c>
      <c r="K93" s="122">
        <v>0</v>
      </c>
      <c r="L93" s="122">
        <v>0</v>
      </c>
      <c r="M93" s="123">
        <v>22</v>
      </c>
      <c r="N93" s="123">
        <v>29.91</v>
      </c>
      <c r="O93" s="124">
        <f t="shared" si="1"/>
        <v>-22</v>
      </c>
      <c r="P93" s="45" t="s">
        <v>1374</v>
      </c>
    </row>
    <row r="94" spans="1:16" x14ac:dyDescent="0.3">
      <c r="A94" s="16">
        <v>4412</v>
      </c>
      <c r="B94" s="29" t="s">
        <v>538</v>
      </c>
      <c r="C94" s="29">
        <v>75437621</v>
      </c>
      <c r="D94" s="29" t="s">
        <v>471</v>
      </c>
      <c r="E94" s="43" t="s">
        <v>470</v>
      </c>
      <c r="F94" s="29" t="s">
        <v>129</v>
      </c>
      <c r="G94" s="122">
        <v>201</v>
      </c>
      <c r="H94" s="122">
        <v>0</v>
      </c>
      <c r="I94" s="123">
        <v>0</v>
      </c>
      <c r="J94" s="122">
        <v>0</v>
      </c>
      <c r="K94" s="122">
        <v>0</v>
      </c>
      <c r="L94" s="122">
        <v>0</v>
      </c>
      <c r="M94" s="123">
        <v>18.25</v>
      </c>
      <c r="N94" s="123">
        <v>23.66</v>
      </c>
      <c r="O94" s="124">
        <f t="shared" si="1"/>
        <v>3668.25</v>
      </c>
      <c r="P94" s="51" t="s">
        <v>1371</v>
      </c>
    </row>
    <row r="95" spans="1:16" x14ac:dyDescent="0.3">
      <c r="A95" s="16">
        <v>459</v>
      </c>
      <c r="B95" s="29" t="s">
        <v>527</v>
      </c>
      <c r="C95" s="29">
        <v>75437621</v>
      </c>
      <c r="D95" s="29" t="s">
        <v>471</v>
      </c>
      <c r="E95" s="43" t="s">
        <v>470</v>
      </c>
      <c r="F95" s="29" t="s">
        <v>129</v>
      </c>
      <c r="G95" s="122">
        <v>183</v>
      </c>
      <c r="H95" s="122">
        <v>0</v>
      </c>
      <c r="I95" s="123">
        <v>0</v>
      </c>
      <c r="J95" s="122">
        <v>0</v>
      </c>
      <c r="K95" s="122">
        <v>0</v>
      </c>
      <c r="L95" s="122">
        <v>0</v>
      </c>
      <c r="M95" s="123">
        <v>18.25</v>
      </c>
      <c r="N95" s="123">
        <v>23.66</v>
      </c>
      <c r="O95" s="124">
        <f t="shared" si="1"/>
        <v>3339.75</v>
      </c>
      <c r="P95" s="51" t="s">
        <v>1371</v>
      </c>
    </row>
    <row r="96" spans="1:16" x14ac:dyDescent="0.3">
      <c r="A96" s="16">
        <v>20</v>
      </c>
      <c r="B96" s="29" t="s">
        <v>552</v>
      </c>
      <c r="C96" s="29">
        <v>75437621</v>
      </c>
      <c r="D96" s="29" t="s">
        <v>471</v>
      </c>
      <c r="E96" s="43" t="s">
        <v>470</v>
      </c>
      <c r="F96" s="29" t="s">
        <v>129</v>
      </c>
      <c r="G96" s="122">
        <v>109</v>
      </c>
      <c r="H96" s="122">
        <v>0</v>
      </c>
      <c r="I96" s="123">
        <v>0</v>
      </c>
      <c r="J96" s="122">
        <v>0</v>
      </c>
      <c r="K96" s="122">
        <v>0</v>
      </c>
      <c r="L96" s="122">
        <v>0</v>
      </c>
      <c r="M96" s="123">
        <v>18.25</v>
      </c>
      <c r="N96" s="123">
        <v>23.66</v>
      </c>
      <c r="O96" s="124">
        <f t="shared" si="1"/>
        <v>1989.25</v>
      </c>
      <c r="P96" s="51" t="s">
        <v>1371</v>
      </c>
    </row>
    <row r="97" spans="1:16" x14ac:dyDescent="0.3">
      <c r="A97" s="16">
        <v>460</v>
      </c>
      <c r="B97" s="29" t="s">
        <v>546</v>
      </c>
      <c r="C97" s="29">
        <v>75437621</v>
      </c>
      <c r="D97" s="29" t="s">
        <v>471</v>
      </c>
      <c r="E97" s="43" t="s">
        <v>470</v>
      </c>
      <c r="F97" s="29" t="s">
        <v>129</v>
      </c>
      <c r="G97" s="122">
        <v>102</v>
      </c>
      <c r="H97" s="122">
        <v>0</v>
      </c>
      <c r="I97" s="123">
        <v>0</v>
      </c>
      <c r="J97" s="122">
        <v>0</v>
      </c>
      <c r="K97" s="122">
        <v>0</v>
      </c>
      <c r="L97" s="122">
        <v>0</v>
      </c>
      <c r="M97" s="123">
        <v>18.25</v>
      </c>
      <c r="N97" s="123">
        <v>23.66</v>
      </c>
      <c r="O97" s="124">
        <f t="shared" si="1"/>
        <v>1861.5</v>
      </c>
      <c r="P97" s="51" t="s">
        <v>1371</v>
      </c>
    </row>
    <row r="98" spans="1:16" x14ac:dyDescent="0.3">
      <c r="A98" s="16">
        <v>46</v>
      </c>
      <c r="B98" s="29" t="s">
        <v>519</v>
      </c>
      <c r="C98" s="29">
        <v>75437621</v>
      </c>
      <c r="D98" s="29" t="s">
        <v>471</v>
      </c>
      <c r="E98" s="43" t="s">
        <v>470</v>
      </c>
      <c r="F98" s="29" t="s">
        <v>129</v>
      </c>
      <c r="G98" s="122">
        <v>96</v>
      </c>
      <c r="H98" s="122">
        <v>0</v>
      </c>
      <c r="I98" s="123">
        <v>0</v>
      </c>
      <c r="J98" s="122">
        <v>0</v>
      </c>
      <c r="K98" s="122">
        <v>0</v>
      </c>
      <c r="L98" s="122">
        <v>0</v>
      </c>
      <c r="M98" s="123">
        <v>18.25</v>
      </c>
      <c r="N98" s="123">
        <v>23.66</v>
      </c>
      <c r="O98" s="124">
        <f t="shared" si="1"/>
        <v>1752</v>
      </c>
      <c r="P98" s="51" t="s">
        <v>1371</v>
      </c>
    </row>
    <row r="99" spans="1:16" x14ac:dyDescent="0.3">
      <c r="A99" s="16">
        <v>21</v>
      </c>
      <c r="B99" s="29" t="s">
        <v>550</v>
      </c>
      <c r="C99" s="29">
        <v>75437621</v>
      </c>
      <c r="D99" s="29" t="s">
        <v>471</v>
      </c>
      <c r="E99" s="43" t="s">
        <v>470</v>
      </c>
      <c r="F99" s="29" t="s">
        <v>129</v>
      </c>
      <c r="G99" s="122">
        <v>93</v>
      </c>
      <c r="H99" s="122">
        <v>0</v>
      </c>
      <c r="I99" s="123">
        <v>0</v>
      </c>
      <c r="J99" s="122">
        <v>0</v>
      </c>
      <c r="K99" s="122">
        <v>0</v>
      </c>
      <c r="L99" s="122">
        <v>0</v>
      </c>
      <c r="M99" s="123">
        <v>18.25</v>
      </c>
      <c r="N99" s="123">
        <v>23.66</v>
      </c>
      <c r="O99" s="124">
        <f t="shared" si="1"/>
        <v>1697.25</v>
      </c>
      <c r="P99" s="51" t="s">
        <v>1371</v>
      </c>
    </row>
    <row r="100" spans="1:16" x14ac:dyDescent="0.3">
      <c r="A100" s="16">
        <v>164</v>
      </c>
      <c r="B100" s="29" t="s">
        <v>555</v>
      </c>
      <c r="C100" s="29">
        <v>75437621</v>
      </c>
      <c r="D100" s="29" t="s">
        <v>471</v>
      </c>
      <c r="E100" s="43" t="s">
        <v>470</v>
      </c>
      <c r="F100" s="29" t="s">
        <v>129</v>
      </c>
      <c r="G100" s="122">
        <v>85</v>
      </c>
      <c r="H100" s="122">
        <v>0</v>
      </c>
      <c r="I100" s="123">
        <v>0</v>
      </c>
      <c r="J100" s="122">
        <v>0</v>
      </c>
      <c r="K100" s="122">
        <v>0</v>
      </c>
      <c r="L100" s="122">
        <v>0</v>
      </c>
      <c r="M100" s="123">
        <v>18.25</v>
      </c>
      <c r="N100" s="123">
        <v>23.66</v>
      </c>
      <c r="O100" s="124">
        <f t="shared" si="1"/>
        <v>1551.25</v>
      </c>
      <c r="P100" s="51" t="s">
        <v>1371</v>
      </c>
    </row>
    <row r="101" spans="1:16" x14ac:dyDescent="0.3">
      <c r="A101" s="16">
        <v>121</v>
      </c>
      <c r="B101" s="29" t="s">
        <v>522</v>
      </c>
      <c r="C101" s="29">
        <v>75437616</v>
      </c>
      <c r="D101" s="29" t="s">
        <v>473</v>
      </c>
      <c r="E101" s="43" t="s">
        <v>470</v>
      </c>
      <c r="F101" s="29" t="s">
        <v>129</v>
      </c>
      <c r="G101" s="122">
        <v>68</v>
      </c>
      <c r="H101" s="122">
        <v>0</v>
      </c>
      <c r="I101" s="123">
        <v>0</v>
      </c>
      <c r="J101" s="122">
        <v>0</v>
      </c>
      <c r="K101" s="122">
        <v>0</v>
      </c>
      <c r="L101" s="122">
        <v>0</v>
      </c>
      <c r="M101" s="123">
        <v>22</v>
      </c>
      <c r="N101" s="123">
        <v>28.57</v>
      </c>
      <c r="O101" s="124">
        <f t="shared" si="1"/>
        <v>1496</v>
      </c>
      <c r="P101" s="51" t="s">
        <v>1371</v>
      </c>
    </row>
    <row r="102" spans="1:16" x14ac:dyDescent="0.3">
      <c r="A102" s="16">
        <v>344</v>
      </c>
      <c r="B102" s="29" t="s">
        <v>535</v>
      </c>
      <c r="C102" s="29">
        <v>75437621</v>
      </c>
      <c r="D102" s="29" t="s">
        <v>471</v>
      </c>
      <c r="E102" s="43" t="s">
        <v>470</v>
      </c>
      <c r="F102" s="29" t="s">
        <v>129</v>
      </c>
      <c r="G102" s="122">
        <v>63</v>
      </c>
      <c r="H102" s="122">
        <v>0</v>
      </c>
      <c r="I102" s="123">
        <v>0</v>
      </c>
      <c r="J102" s="122">
        <v>0</v>
      </c>
      <c r="K102" s="122">
        <v>0</v>
      </c>
      <c r="L102" s="122">
        <v>0</v>
      </c>
      <c r="M102" s="123">
        <v>18.25</v>
      </c>
      <c r="N102" s="123">
        <v>23.66</v>
      </c>
      <c r="O102" s="124">
        <f t="shared" si="1"/>
        <v>1149.75</v>
      </c>
      <c r="P102" s="51" t="s">
        <v>1371</v>
      </c>
    </row>
    <row r="103" spans="1:16" x14ac:dyDescent="0.3">
      <c r="A103" s="16">
        <v>4037</v>
      </c>
      <c r="B103" s="29" t="s">
        <v>517</v>
      </c>
      <c r="C103" s="29">
        <v>75437616</v>
      </c>
      <c r="D103" s="29" t="s">
        <v>473</v>
      </c>
      <c r="E103" s="43" t="s">
        <v>470</v>
      </c>
      <c r="F103" s="29" t="s">
        <v>129</v>
      </c>
      <c r="G103" s="122">
        <v>62</v>
      </c>
      <c r="H103" s="122">
        <v>0</v>
      </c>
      <c r="I103" s="123">
        <v>0</v>
      </c>
      <c r="J103" s="122">
        <v>0</v>
      </c>
      <c r="K103" s="122">
        <v>0</v>
      </c>
      <c r="L103" s="122">
        <v>0</v>
      </c>
      <c r="M103" s="123">
        <v>22</v>
      </c>
      <c r="N103" s="123">
        <v>28.57</v>
      </c>
      <c r="O103" s="124">
        <f t="shared" si="1"/>
        <v>1364</v>
      </c>
      <c r="P103" s="51" t="s">
        <v>1371</v>
      </c>
    </row>
    <row r="104" spans="1:16" x14ac:dyDescent="0.3">
      <c r="A104" s="16">
        <v>948</v>
      </c>
      <c r="B104" s="29" t="s">
        <v>553</v>
      </c>
      <c r="C104" s="29">
        <v>75437616</v>
      </c>
      <c r="D104" s="29" t="s">
        <v>473</v>
      </c>
      <c r="E104" s="43" t="s">
        <v>470</v>
      </c>
      <c r="F104" s="29" t="s">
        <v>129</v>
      </c>
      <c r="G104" s="122">
        <v>60</v>
      </c>
      <c r="H104" s="122">
        <v>0</v>
      </c>
      <c r="I104" s="123">
        <v>0</v>
      </c>
      <c r="J104" s="122">
        <v>0</v>
      </c>
      <c r="K104" s="122">
        <v>0</v>
      </c>
      <c r="L104" s="122">
        <v>0</v>
      </c>
      <c r="M104" s="123">
        <v>22</v>
      </c>
      <c r="N104" s="123">
        <v>28.57</v>
      </c>
      <c r="O104" s="124">
        <f t="shared" si="1"/>
        <v>1320</v>
      </c>
      <c r="P104" s="51" t="s">
        <v>1371</v>
      </c>
    </row>
    <row r="105" spans="1:16" x14ac:dyDescent="0.3">
      <c r="A105" s="16">
        <v>4116</v>
      </c>
      <c r="B105" s="29" t="s">
        <v>557</v>
      </c>
      <c r="C105" s="29">
        <v>75437616</v>
      </c>
      <c r="D105" s="29" t="s">
        <v>473</v>
      </c>
      <c r="E105" s="43" t="s">
        <v>470</v>
      </c>
      <c r="F105" s="29" t="s">
        <v>129</v>
      </c>
      <c r="G105" s="122">
        <v>60</v>
      </c>
      <c r="H105" s="122">
        <v>0</v>
      </c>
      <c r="I105" s="123">
        <v>0</v>
      </c>
      <c r="J105" s="122">
        <v>0</v>
      </c>
      <c r="K105" s="122">
        <v>0</v>
      </c>
      <c r="L105" s="122">
        <v>0</v>
      </c>
      <c r="M105" s="123">
        <v>22</v>
      </c>
      <c r="N105" s="123">
        <v>28.57</v>
      </c>
      <c r="O105" s="124">
        <f t="shared" si="1"/>
        <v>1320</v>
      </c>
      <c r="P105" s="51" t="s">
        <v>1371</v>
      </c>
    </row>
    <row r="106" spans="1:16" x14ac:dyDescent="0.3">
      <c r="A106" s="16">
        <v>4370</v>
      </c>
      <c r="B106" s="29" t="s">
        <v>542</v>
      </c>
      <c r="C106" s="29">
        <v>75437616</v>
      </c>
      <c r="D106" s="29" t="s">
        <v>473</v>
      </c>
      <c r="E106" s="43" t="s">
        <v>470</v>
      </c>
      <c r="F106" s="29" t="s">
        <v>129</v>
      </c>
      <c r="G106" s="122">
        <v>58</v>
      </c>
      <c r="H106" s="122">
        <v>0</v>
      </c>
      <c r="I106" s="123">
        <v>0</v>
      </c>
      <c r="J106" s="122">
        <v>0</v>
      </c>
      <c r="K106" s="122">
        <v>0</v>
      </c>
      <c r="L106" s="122">
        <v>0</v>
      </c>
      <c r="M106" s="123">
        <v>22</v>
      </c>
      <c r="N106" s="123">
        <v>28.57</v>
      </c>
      <c r="O106" s="124">
        <f t="shared" si="1"/>
        <v>1276</v>
      </c>
      <c r="P106" s="51" t="s">
        <v>1371</v>
      </c>
    </row>
    <row r="107" spans="1:16" x14ac:dyDescent="0.3">
      <c r="A107" s="16">
        <v>459</v>
      </c>
      <c r="B107" s="29" t="s">
        <v>527</v>
      </c>
      <c r="C107" s="29">
        <v>75437610</v>
      </c>
      <c r="D107" s="29" t="s">
        <v>472</v>
      </c>
      <c r="E107" s="43" t="s">
        <v>470</v>
      </c>
      <c r="F107" s="29" t="s">
        <v>129</v>
      </c>
      <c r="G107" s="122">
        <v>52</v>
      </c>
      <c r="H107" s="122">
        <v>0</v>
      </c>
      <c r="I107" s="123">
        <v>0</v>
      </c>
      <c r="J107" s="122">
        <v>0</v>
      </c>
      <c r="K107" s="122">
        <v>0</v>
      </c>
      <c r="L107" s="122">
        <v>0</v>
      </c>
      <c r="M107" s="123">
        <v>51</v>
      </c>
      <c r="N107" s="123">
        <v>66.069999999999993</v>
      </c>
      <c r="O107" s="124">
        <f t="shared" si="1"/>
        <v>2652</v>
      </c>
      <c r="P107" s="51" t="s">
        <v>1371</v>
      </c>
    </row>
    <row r="108" spans="1:16" x14ac:dyDescent="0.3">
      <c r="A108" s="16">
        <v>24</v>
      </c>
      <c r="B108" s="29" t="s">
        <v>543</v>
      </c>
      <c r="C108" s="29">
        <v>75437614</v>
      </c>
      <c r="D108" s="29" t="s">
        <v>475</v>
      </c>
      <c r="E108" s="43" t="s">
        <v>470</v>
      </c>
      <c r="F108" s="29" t="s">
        <v>129</v>
      </c>
      <c r="G108" s="122">
        <v>50</v>
      </c>
      <c r="H108" s="122">
        <v>0</v>
      </c>
      <c r="I108" s="123">
        <v>0</v>
      </c>
      <c r="J108" s="122">
        <v>0</v>
      </c>
      <c r="K108" s="122">
        <v>0</v>
      </c>
      <c r="L108" s="122">
        <v>0</v>
      </c>
      <c r="M108" s="123">
        <v>22</v>
      </c>
      <c r="N108" s="123">
        <v>28.57</v>
      </c>
      <c r="O108" s="124">
        <f t="shared" si="1"/>
        <v>1100</v>
      </c>
      <c r="P108" s="51" t="s">
        <v>1371</v>
      </c>
    </row>
    <row r="109" spans="1:16" x14ac:dyDescent="0.3">
      <c r="A109" s="16">
        <v>46</v>
      </c>
      <c r="B109" s="29" t="s">
        <v>519</v>
      </c>
      <c r="C109" s="29">
        <v>75437616</v>
      </c>
      <c r="D109" s="29" t="s">
        <v>473</v>
      </c>
      <c r="E109" s="43" t="s">
        <v>470</v>
      </c>
      <c r="F109" s="29" t="s">
        <v>129</v>
      </c>
      <c r="G109" s="122">
        <v>50</v>
      </c>
      <c r="H109" s="122">
        <v>0</v>
      </c>
      <c r="I109" s="123">
        <v>0</v>
      </c>
      <c r="J109" s="122">
        <v>0</v>
      </c>
      <c r="K109" s="122">
        <v>0</v>
      </c>
      <c r="L109" s="122">
        <v>0</v>
      </c>
      <c r="M109" s="123">
        <v>22</v>
      </c>
      <c r="N109" s="123">
        <v>28.57</v>
      </c>
      <c r="O109" s="124">
        <f t="shared" si="1"/>
        <v>1100</v>
      </c>
      <c r="P109" s="51" t="s">
        <v>1371</v>
      </c>
    </row>
    <row r="110" spans="1:16" x14ac:dyDescent="0.3">
      <c r="A110" s="16">
        <v>164</v>
      </c>
      <c r="B110" s="29" t="s">
        <v>555</v>
      </c>
      <c r="C110" s="29">
        <v>75437616</v>
      </c>
      <c r="D110" s="29" t="s">
        <v>473</v>
      </c>
      <c r="E110" s="43" t="s">
        <v>470</v>
      </c>
      <c r="F110" s="29" t="s">
        <v>129</v>
      </c>
      <c r="G110" s="122">
        <v>47</v>
      </c>
      <c r="H110" s="122">
        <v>0</v>
      </c>
      <c r="I110" s="123">
        <v>0</v>
      </c>
      <c r="J110" s="122">
        <v>0</v>
      </c>
      <c r="K110" s="122">
        <v>0</v>
      </c>
      <c r="L110" s="122">
        <v>0</v>
      </c>
      <c r="M110" s="123">
        <v>22</v>
      </c>
      <c r="N110" s="123">
        <v>28.57</v>
      </c>
      <c r="O110" s="124">
        <f t="shared" si="1"/>
        <v>1034</v>
      </c>
      <c r="P110" s="51" t="s">
        <v>1371</v>
      </c>
    </row>
    <row r="111" spans="1:16" x14ac:dyDescent="0.3">
      <c r="A111" s="16">
        <v>4412</v>
      </c>
      <c r="B111" s="29" t="s">
        <v>538</v>
      </c>
      <c r="C111" s="29">
        <v>75214930</v>
      </c>
      <c r="D111" s="29" t="s">
        <v>469</v>
      </c>
      <c r="E111" s="43" t="s">
        <v>470</v>
      </c>
      <c r="F111" s="29" t="s">
        <v>129</v>
      </c>
      <c r="G111" s="122">
        <v>43</v>
      </c>
      <c r="H111" s="122">
        <v>0</v>
      </c>
      <c r="I111" s="123">
        <v>0</v>
      </c>
      <c r="J111" s="122">
        <v>0</v>
      </c>
      <c r="K111" s="122">
        <v>0</v>
      </c>
      <c r="L111" s="122">
        <v>0</v>
      </c>
      <c r="M111" s="123">
        <v>45.54</v>
      </c>
      <c r="N111" s="123">
        <v>61.61</v>
      </c>
      <c r="O111" s="124">
        <f t="shared" si="1"/>
        <v>1958.22</v>
      </c>
      <c r="P111" s="51" t="s">
        <v>1371</v>
      </c>
    </row>
    <row r="112" spans="1:16" x14ac:dyDescent="0.3">
      <c r="A112" s="16">
        <v>164</v>
      </c>
      <c r="B112" s="29" t="s">
        <v>555</v>
      </c>
      <c r="C112" s="29">
        <v>75437614</v>
      </c>
      <c r="D112" s="29" t="s">
        <v>475</v>
      </c>
      <c r="E112" s="43" t="s">
        <v>470</v>
      </c>
      <c r="F112" s="29" t="s">
        <v>129</v>
      </c>
      <c r="G112" s="122">
        <v>40</v>
      </c>
      <c r="H112" s="122">
        <v>0</v>
      </c>
      <c r="I112" s="123">
        <v>0</v>
      </c>
      <c r="J112" s="122">
        <v>0</v>
      </c>
      <c r="K112" s="122">
        <v>0</v>
      </c>
      <c r="L112" s="122">
        <v>0</v>
      </c>
      <c r="M112" s="123">
        <v>22</v>
      </c>
      <c r="N112" s="123">
        <v>28.57</v>
      </c>
      <c r="O112" s="124">
        <f t="shared" si="1"/>
        <v>880</v>
      </c>
      <c r="P112" s="51" t="s">
        <v>1371</v>
      </c>
    </row>
    <row r="113" spans="1:16" x14ac:dyDescent="0.3">
      <c r="A113" s="16">
        <v>1054</v>
      </c>
      <c r="B113" s="29" t="s">
        <v>524</v>
      </c>
      <c r="C113" s="29">
        <v>75437614</v>
      </c>
      <c r="D113" s="29" t="s">
        <v>475</v>
      </c>
      <c r="E113" s="43" t="s">
        <v>470</v>
      </c>
      <c r="F113" s="29" t="s">
        <v>129</v>
      </c>
      <c r="G113" s="122">
        <v>40</v>
      </c>
      <c r="H113" s="122">
        <v>0</v>
      </c>
      <c r="I113" s="123">
        <v>0</v>
      </c>
      <c r="J113" s="122">
        <v>0</v>
      </c>
      <c r="K113" s="122">
        <v>0</v>
      </c>
      <c r="L113" s="122">
        <v>0</v>
      </c>
      <c r="M113" s="123">
        <v>22</v>
      </c>
      <c r="N113" s="123">
        <v>28.57</v>
      </c>
      <c r="O113" s="124">
        <f t="shared" si="1"/>
        <v>880</v>
      </c>
      <c r="P113" s="51" t="s">
        <v>1371</v>
      </c>
    </row>
    <row r="114" spans="1:16" x14ac:dyDescent="0.3">
      <c r="A114" s="16">
        <v>4116</v>
      </c>
      <c r="B114" s="29" t="s">
        <v>557</v>
      </c>
      <c r="C114" s="29">
        <v>75437623</v>
      </c>
      <c r="D114" s="29" t="s">
        <v>474</v>
      </c>
      <c r="E114" s="43" t="s">
        <v>470</v>
      </c>
      <c r="F114" s="29" t="s">
        <v>129</v>
      </c>
      <c r="G114" s="122">
        <v>40</v>
      </c>
      <c r="H114" s="122">
        <v>0</v>
      </c>
      <c r="I114" s="123">
        <v>0</v>
      </c>
      <c r="J114" s="122">
        <v>0</v>
      </c>
      <c r="K114" s="122">
        <v>0</v>
      </c>
      <c r="L114" s="122">
        <v>0</v>
      </c>
      <c r="M114" s="123">
        <v>32.85</v>
      </c>
      <c r="N114" s="123">
        <v>42.63</v>
      </c>
      <c r="O114" s="124">
        <f t="shared" si="1"/>
        <v>1314</v>
      </c>
      <c r="P114" s="51" t="s">
        <v>1371</v>
      </c>
    </row>
    <row r="115" spans="1:16" x14ac:dyDescent="0.3">
      <c r="A115" s="16">
        <v>35</v>
      </c>
      <c r="B115" s="29" t="s">
        <v>549</v>
      </c>
      <c r="C115" s="29">
        <v>75214930</v>
      </c>
      <c r="D115" s="29" t="s">
        <v>469</v>
      </c>
      <c r="E115" s="43" t="s">
        <v>470</v>
      </c>
      <c r="F115" s="29" t="s">
        <v>129</v>
      </c>
      <c r="G115" s="122">
        <v>38</v>
      </c>
      <c r="H115" s="122">
        <v>0</v>
      </c>
      <c r="I115" s="123">
        <v>0</v>
      </c>
      <c r="J115" s="122">
        <v>0</v>
      </c>
      <c r="K115" s="122">
        <v>0</v>
      </c>
      <c r="L115" s="122">
        <v>0</v>
      </c>
      <c r="M115" s="123">
        <v>45.54</v>
      </c>
      <c r="N115" s="123">
        <v>61.61</v>
      </c>
      <c r="O115" s="124">
        <f t="shared" si="1"/>
        <v>1730.52</v>
      </c>
      <c r="P115" s="51" t="s">
        <v>1371</v>
      </c>
    </row>
    <row r="116" spans="1:16" x14ac:dyDescent="0.3">
      <c r="A116" s="16">
        <v>121</v>
      </c>
      <c r="B116" s="29" t="s">
        <v>522</v>
      </c>
      <c r="C116" s="29">
        <v>75214930</v>
      </c>
      <c r="D116" s="29" t="s">
        <v>469</v>
      </c>
      <c r="E116" s="43" t="s">
        <v>470</v>
      </c>
      <c r="F116" s="29" t="s">
        <v>129</v>
      </c>
      <c r="G116" s="122">
        <v>37</v>
      </c>
      <c r="H116" s="122">
        <v>0</v>
      </c>
      <c r="I116" s="123">
        <v>0</v>
      </c>
      <c r="J116" s="122">
        <v>0</v>
      </c>
      <c r="K116" s="122">
        <v>0</v>
      </c>
      <c r="L116" s="122">
        <v>0</v>
      </c>
      <c r="M116" s="123">
        <v>45.54</v>
      </c>
      <c r="N116" s="123">
        <v>61.61</v>
      </c>
      <c r="O116" s="124">
        <f t="shared" si="1"/>
        <v>1684.98</v>
      </c>
      <c r="P116" s="51" t="s">
        <v>1371</v>
      </c>
    </row>
    <row r="117" spans="1:16" x14ac:dyDescent="0.3">
      <c r="A117" s="16">
        <v>4370</v>
      </c>
      <c r="B117" s="29" t="s">
        <v>542</v>
      </c>
      <c r="C117" s="29">
        <v>75214930</v>
      </c>
      <c r="D117" s="29" t="s">
        <v>469</v>
      </c>
      <c r="E117" s="43" t="s">
        <v>470</v>
      </c>
      <c r="F117" s="29" t="s">
        <v>129</v>
      </c>
      <c r="G117" s="122">
        <v>37</v>
      </c>
      <c r="H117" s="122">
        <v>0</v>
      </c>
      <c r="I117" s="123">
        <v>0</v>
      </c>
      <c r="J117" s="122">
        <v>0</v>
      </c>
      <c r="K117" s="122">
        <v>0</v>
      </c>
      <c r="L117" s="122">
        <v>0</v>
      </c>
      <c r="M117" s="123">
        <v>45.54</v>
      </c>
      <c r="N117" s="123">
        <v>61.61</v>
      </c>
      <c r="O117" s="124">
        <f t="shared" si="1"/>
        <v>1684.98</v>
      </c>
      <c r="P117" s="51" t="s">
        <v>1371</v>
      </c>
    </row>
    <row r="118" spans="1:16" x14ac:dyDescent="0.3">
      <c r="A118" s="16">
        <v>4490</v>
      </c>
      <c r="B118" s="29" t="s">
        <v>537</v>
      </c>
      <c r="C118" s="29">
        <v>75437614</v>
      </c>
      <c r="D118" s="29" t="s">
        <v>475</v>
      </c>
      <c r="E118" s="43" t="s">
        <v>470</v>
      </c>
      <c r="F118" s="29" t="s">
        <v>129</v>
      </c>
      <c r="G118" s="122">
        <v>35</v>
      </c>
      <c r="H118" s="122">
        <v>0</v>
      </c>
      <c r="I118" s="123">
        <v>0</v>
      </c>
      <c r="J118" s="122">
        <v>0</v>
      </c>
      <c r="K118" s="122">
        <v>0</v>
      </c>
      <c r="L118" s="122">
        <v>0</v>
      </c>
      <c r="M118" s="123">
        <v>22</v>
      </c>
      <c r="N118" s="123">
        <v>28.57</v>
      </c>
      <c r="O118" s="124">
        <f t="shared" si="1"/>
        <v>770</v>
      </c>
      <c r="P118" s="51" t="s">
        <v>1371</v>
      </c>
    </row>
    <row r="119" spans="1:16" x14ac:dyDescent="0.3">
      <c r="A119" s="16">
        <v>4176</v>
      </c>
      <c r="B119" s="29" t="s">
        <v>536</v>
      </c>
      <c r="C119" s="29">
        <v>75437616</v>
      </c>
      <c r="D119" s="29" t="s">
        <v>473</v>
      </c>
      <c r="E119" s="43" t="s">
        <v>470</v>
      </c>
      <c r="F119" s="29" t="s">
        <v>129</v>
      </c>
      <c r="G119" s="122">
        <v>34</v>
      </c>
      <c r="H119" s="122">
        <v>0</v>
      </c>
      <c r="I119" s="123">
        <v>0</v>
      </c>
      <c r="J119" s="122">
        <v>0</v>
      </c>
      <c r="K119" s="122">
        <v>0</v>
      </c>
      <c r="L119" s="122">
        <v>0</v>
      </c>
      <c r="M119" s="123">
        <v>22</v>
      </c>
      <c r="N119" s="123">
        <v>28.57</v>
      </c>
      <c r="O119" s="124">
        <f t="shared" si="1"/>
        <v>748</v>
      </c>
      <c r="P119" s="51" t="s">
        <v>1371</v>
      </c>
    </row>
    <row r="120" spans="1:16" x14ac:dyDescent="0.3">
      <c r="A120" s="16">
        <v>47</v>
      </c>
      <c r="B120" s="29" t="s">
        <v>516</v>
      </c>
      <c r="C120" s="29">
        <v>75437614</v>
      </c>
      <c r="D120" s="29" t="s">
        <v>475</v>
      </c>
      <c r="E120" s="43" t="s">
        <v>470</v>
      </c>
      <c r="F120" s="29" t="s">
        <v>129</v>
      </c>
      <c r="G120" s="122">
        <v>32</v>
      </c>
      <c r="H120" s="122">
        <v>0</v>
      </c>
      <c r="I120" s="123">
        <v>0</v>
      </c>
      <c r="J120" s="122">
        <v>0</v>
      </c>
      <c r="K120" s="122">
        <v>0</v>
      </c>
      <c r="L120" s="122">
        <v>0</v>
      </c>
      <c r="M120" s="123">
        <v>22</v>
      </c>
      <c r="N120" s="123">
        <v>28.57</v>
      </c>
      <c r="O120" s="124">
        <f t="shared" si="1"/>
        <v>704</v>
      </c>
      <c r="P120" s="51" t="s">
        <v>1371</v>
      </c>
    </row>
    <row r="121" spans="1:16" x14ac:dyDescent="0.3">
      <c r="A121" s="16">
        <v>22</v>
      </c>
      <c r="B121" s="29" t="s">
        <v>509</v>
      </c>
      <c r="C121" s="29">
        <v>75437616</v>
      </c>
      <c r="D121" s="29" t="s">
        <v>473</v>
      </c>
      <c r="E121" s="43" t="s">
        <v>470</v>
      </c>
      <c r="F121" s="29" t="s">
        <v>129</v>
      </c>
      <c r="G121" s="122">
        <v>32</v>
      </c>
      <c r="H121" s="122">
        <v>0</v>
      </c>
      <c r="I121" s="123">
        <v>0</v>
      </c>
      <c r="J121" s="122">
        <v>0</v>
      </c>
      <c r="K121" s="122">
        <v>0</v>
      </c>
      <c r="L121" s="122">
        <v>0</v>
      </c>
      <c r="M121" s="123">
        <v>22</v>
      </c>
      <c r="N121" s="123">
        <v>28.57</v>
      </c>
      <c r="O121" s="124">
        <f t="shared" si="1"/>
        <v>704</v>
      </c>
      <c r="P121" s="51" t="s">
        <v>1371</v>
      </c>
    </row>
    <row r="122" spans="1:16" x14ac:dyDescent="0.3">
      <c r="A122" s="16">
        <v>491</v>
      </c>
      <c r="B122" s="29" t="s">
        <v>514</v>
      </c>
      <c r="C122" s="29">
        <v>75437616</v>
      </c>
      <c r="D122" s="29" t="s">
        <v>473</v>
      </c>
      <c r="E122" s="43" t="s">
        <v>470</v>
      </c>
      <c r="F122" s="29" t="s">
        <v>129</v>
      </c>
      <c r="G122" s="122">
        <v>32</v>
      </c>
      <c r="H122" s="122">
        <v>0</v>
      </c>
      <c r="I122" s="123">
        <v>0</v>
      </c>
      <c r="J122" s="122">
        <v>0</v>
      </c>
      <c r="K122" s="122">
        <v>0</v>
      </c>
      <c r="L122" s="122">
        <v>0</v>
      </c>
      <c r="M122" s="123">
        <v>22</v>
      </c>
      <c r="N122" s="123">
        <v>28.57</v>
      </c>
      <c r="O122" s="124">
        <f t="shared" si="1"/>
        <v>704</v>
      </c>
      <c r="P122" s="51" t="s">
        <v>1371</v>
      </c>
    </row>
    <row r="123" spans="1:16" x14ac:dyDescent="0.3">
      <c r="A123" s="16">
        <v>414</v>
      </c>
      <c r="B123" s="29" t="s">
        <v>544</v>
      </c>
      <c r="C123" s="29">
        <v>75437610</v>
      </c>
      <c r="D123" s="29" t="s">
        <v>472</v>
      </c>
      <c r="E123" s="43" t="s">
        <v>470</v>
      </c>
      <c r="F123" s="29" t="s">
        <v>129</v>
      </c>
      <c r="G123" s="122">
        <v>31</v>
      </c>
      <c r="H123" s="122">
        <v>0</v>
      </c>
      <c r="I123" s="123">
        <v>0</v>
      </c>
      <c r="J123" s="122">
        <v>0</v>
      </c>
      <c r="K123" s="122">
        <v>0</v>
      </c>
      <c r="L123" s="122">
        <v>0</v>
      </c>
      <c r="M123" s="123">
        <v>51</v>
      </c>
      <c r="N123" s="123">
        <v>66.069999999999993</v>
      </c>
      <c r="O123" s="124">
        <f t="shared" si="1"/>
        <v>1581</v>
      </c>
      <c r="P123" s="51" t="s">
        <v>1371</v>
      </c>
    </row>
    <row r="124" spans="1:16" x14ac:dyDescent="0.3">
      <c r="A124" s="16">
        <v>24</v>
      </c>
      <c r="B124" s="29" t="s">
        <v>543</v>
      </c>
      <c r="C124" s="29">
        <v>75437616</v>
      </c>
      <c r="D124" s="29" t="s">
        <v>473</v>
      </c>
      <c r="E124" s="43" t="s">
        <v>470</v>
      </c>
      <c r="F124" s="29" t="s">
        <v>129</v>
      </c>
      <c r="G124" s="122">
        <v>31</v>
      </c>
      <c r="H124" s="122">
        <v>0</v>
      </c>
      <c r="I124" s="123">
        <v>0</v>
      </c>
      <c r="J124" s="122">
        <v>0</v>
      </c>
      <c r="K124" s="122">
        <v>0</v>
      </c>
      <c r="L124" s="122">
        <v>0</v>
      </c>
      <c r="M124" s="123">
        <v>22</v>
      </c>
      <c r="N124" s="123">
        <v>28.57</v>
      </c>
      <c r="O124" s="124">
        <f t="shared" si="1"/>
        <v>682</v>
      </c>
      <c r="P124" s="51" t="s">
        <v>1371</v>
      </c>
    </row>
    <row r="125" spans="1:16" x14ac:dyDescent="0.3">
      <c r="A125" s="16">
        <v>458</v>
      </c>
      <c r="B125" s="29" t="s">
        <v>548</v>
      </c>
      <c r="C125" s="29">
        <v>75437616</v>
      </c>
      <c r="D125" s="29" t="s">
        <v>473</v>
      </c>
      <c r="E125" s="43" t="s">
        <v>470</v>
      </c>
      <c r="F125" s="29" t="s">
        <v>129</v>
      </c>
      <c r="G125" s="122">
        <v>31</v>
      </c>
      <c r="H125" s="122">
        <v>0</v>
      </c>
      <c r="I125" s="123">
        <v>0</v>
      </c>
      <c r="J125" s="122">
        <v>0</v>
      </c>
      <c r="K125" s="122">
        <v>0</v>
      </c>
      <c r="L125" s="122">
        <v>0</v>
      </c>
      <c r="M125" s="123">
        <v>22</v>
      </c>
      <c r="N125" s="123">
        <v>28.57</v>
      </c>
      <c r="O125" s="124">
        <f t="shared" si="1"/>
        <v>682</v>
      </c>
      <c r="P125" s="51" t="s">
        <v>1371</v>
      </c>
    </row>
    <row r="126" spans="1:16" x14ac:dyDescent="0.3">
      <c r="A126" s="16">
        <v>33</v>
      </c>
      <c r="B126" s="29" t="s">
        <v>526</v>
      </c>
      <c r="C126" s="29">
        <v>75437621</v>
      </c>
      <c r="D126" s="29" t="s">
        <v>471</v>
      </c>
      <c r="E126" s="43" t="s">
        <v>470</v>
      </c>
      <c r="F126" s="29" t="s">
        <v>129</v>
      </c>
      <c r="G126" s="122">
        <v>31</v>
      </c>
      <c r="H126" s="122">
        <v>0</v>
      </c>
      <c r="I126" s="123">
        <v>0</v>
      </c>
      <c r="J126" s="122">
        <v>0</v>
      </c>
      <c r="K126" s="122">
        <v>0</v>
      </c>
      <c r="L126" s="122">
        <v>0</v>
      </c>
      <c r="M126" s="123">
        <v>18.25</v>
      </c>
      <c r="N126" s="123">
        <v>23.66</v>
      </c>
      <c r="O126" s="124">
        <f t="shared" si="1"/>
        <v>565.75</v>
      </c>
      <c r="P126" s="51" t="s">
        <v>1371</v>
      </c>
    </row>
    <row r="127" spans="1:16" x14ac:dyDescent="0.3">
      <c r="A127" s="16">
        <v>344</v>
      </c>
      <c r="B127" s="29" t="s">
        <v>535</v>
      </c>
      <c r="C127" s="29">
        <v>75437610</v>
      </c>
      <c r="D127" s="29" t="s">
        <v>472</v>
      </c>
      <c r="E127" s="43" t="s">
        <v>470</v>
      </c>
      <c r="F127" s="29" t="s">
        <v>129</v>
      </c>
      <c r="G127" s="122">
        <v>29</v>
      </c>
      <c r="H127" s="122">
        <v>0</v>
      </c>
      <c r="I127" s="123">
        <v>0</v>
      </c>
      <c r="J127" s="122">
        <v>0</v>
      </c>
      <c r="K127" s="122">
        <v>0</v>
      </c>
      <c r="L127" s="122">
        <v>0</v>
      </c>
      <c r="M127" s="123">
        <v>51</v>
      </c>
      <c r="N127" s="123">
        <v>66.069999999999993</v>
      </c>
      <c r="O127" s="124">
        <f t="shared" si="1"/>
        <v>1479</v>
      </c>
      <c r="P127" s="51" t="s">
        <v>1371</v>
      </c>
    </row>
    <row r="128" spans="1:16" x14ac:dyDescent="0.3">
      <c r="A128" s="16">
        <v>35</v>
      </c>
      <c r="B128" s="29" t="s">
        <v>549</v>
      </c>
      <c r="C128" s="29">
        <v>75437614</v>
      </c>
      <c r="D128" s="29" t="s">
        <v>475</v>
      </c>
      <c r="E128" s="43" t="s">
        <v>470</v>
      </c>
      <c r="F128" s="29" t="s">
        <v>129</v>
      </c>
      <c r="G128" s="122">
        <v>29</v>
      </c>
      <c r="H128" s="122">
        <v>0</v>
      </c>
      <c r="I128" s="123">
        <v>0</v>
      </c>
      <c r="J128" s="122">
        <v>0</v>
      </c>
      <c r="K128" s="122">
        <v>0</v>
      </c>
      <c r="L128" s="122">
        <v>0</v>
      </c>
      <c r="M128" s="123">
        <v>22</v>
      </c>
      <c r="N128" s="123">
        <v>28.57</v>
      </c>
      <c r="O128" s="124">
        <f t="shared" si="1"/>
        <v>638</v>
      </c>
      <c r="P128" s="51" t="s">
        <v>1371</v>
      </c>
    </row>
    <row r="129" spans="1:16" x14ac:dyDescent="0.3">
      <c r="A129" s="16">
        <v>1054</v>
      </c>
      <c r="B129" s="29" t="s">
        <v>524</v>
      </c>
      <c r="C129" s="29">
        <v>75437616</v>
      </c>
      <c r="D129" s="29" t="s">
        <v>473</v>
      </c>
      <c r="E129" s="43" t="s">
        <v>470</v>
      </c>
      <c r="F129" s="29" t="s">
        <v>129</v>
      </c>
      <c r="G129" s="122">
        <v>29</v>
      </c>
      <c r="H129" s="122">
        <v>0</v>
      </c>
      <c r="I129" s="123">
        <v>0</v>
      </c>
      <c r="J129" s="122">
        <v>0</v>
      </c>
      <c r="K129" s="122">
        <v>0</v>
      </c>
      <c r="L129" s="122">
        <v>0</v>
      </c>
      <c r="M129" s="123">
        <v>22</v>
      </c>
      <c r="N129" s="123">
        <v>28.57</v>
      </c>
      <c r="O129" s="124">
        <f t="shared" si="1"/>
        <v>638</v>
      </c>
      <c r="P129" s="51" t="s">
        <v>1371</v>
      </c>
    </row>
    <row r="130" spans="1:16" x14ac:dyDescent="0.3">
      <c r="A130" s="16">
        <v>948</v>
      </c>
      <c r="B130" s="29" t="s">
        <v>553</v>
      </c>
      <c r="C130" s="29">
        <v>75214930</v>
      </c>
      <c r="D130" s="29" t="s">
        <v>469</v>
      </c>
      <c r="E130" s="43" t="s">
        <v>470</v>
      </c>
      <c r="F130" s="29" t="s">
        <v>129</v>
      </c>
      <c r="G130" s="122">
        <v>28</v>
      </c>
      <c r="H130" s="122">
        <v>0</v>
      </c>
      <c r="I130" s="123">
        <v>0</v>
      </c>
      <c r="J130" s="122">
        <v>24</v>
      </c>
      <c r="K130" s="122">
        <v>0</v>
      </c>
      <c r="L130" s="122">
        <v>0</v>
      </c>
      <c r="M130" s="123">
        <v>45.54</v>
      </c>
      <c r="N130" s="123">
        <v>61.61</v>
      </c>
      <c r="O130" s="124">
        <f t="shared" si="1"/>
        <v>1275.1199999999999</v>
      </c>
      <c r="P130" s="51" t="s">
        <v>1371</v>
      </c>
    </row>
    <row r="131" spans="1:16" x14ac:dyDescent="0.3">
      <c r="A131" s="16">
        <v>23</v>
      </c>
      <c r="B131" s="29" t="s">
        <v>521</v>
      </c>
      <c r="C131" s="29">
        <v>75437616</v>
      </c>
      <c r="D131" s="29" t="s">
        <v>473</v>
      </c>
      <c r="E131" s="43" t="s">
        <v>470</v>
      </c>
      <c r="F131" s="29" t="s">
        <v>129</v>
      </c>
      <c r="G131" s="122">
        <v>28</v>
      </c>
      <c r="H131" s="122">
        <v>0</v>
      </c>
      <c r="I131" s="123">
        <v>0</v>
      </c>
      <c r="J131" s="122">
        <v>0</v>
      </c>
      <c r="K131" s="122">
        <v>0</v>
      </c>
      <c r="L131" s="122">
        <v>0</v>
      </c>
      <c r="M131" s="123">
        <v>22</v>
      </c>
      <c r="N131" s="123">
        <v>28.57</v>
      </c>
      <c r="O131" s="124">
        <f t="shared" si="1"/>
        <v>616</v>
      </c>
      <c r="P131" s="51" t="s">
        <v>1371</v>
      </c>
    </row>
    <row r="132" spans="1:16" x14ac:dyDescent="0.3">
      <c r="A132" s="16">
        <v>344</v>
      </c>
      <c r="B132" s="29" t="s">
        <v>535</v>
      </c>
      <c r="C132" s="29">
        <v>75437616</v>
      </c>
      <c r="D132" s="29" t="s">
        <v>473</v>
      </c>
      <c r="E132" s="43" t="s">
        <v>470</v>
      </c>
      <c r="F132" s="29" t="s">
        <v>129</v>
      </c>
      <c r="G132" s="122">
        <v>28</v>
      </c>
      <c r="H132" s="122">
        <v>0</v>
      </c>
      <c r="I132" s="123">
        <v>0</v>
      </c>
      <c r="J132" s="122">
        <v>0</v>
      </c>
      <c r="K132" s="122">
        <v>0</v>
      </c>
      <c r="L132" s="122">
        <v>0</v>
      </c>
      <c r="M132" s="123">
        <v>22</v>
      </c>
      <c r="N132" s="123">
        <v>28.57</v>
      </c>
      <c r="O132" s="124">
        <f t="shared" ref="O132:O195" si="2">G132*M132</f>
        <v>616</v>
      </c>
      <c r="P132" s="51" t="s">
        <v>1371</v>
      </c>
    </row>
    <row r="133" spans="1:16" x14ac:dyDescent="0.3">
      <c r="A133" s="16">
        <v>414</v>
      </c>
      <c r="B133" s="29" t="s">
        <v>544</v>
      </c>
      <c r="C133" s="29">
        <v>75437614</v>
      </c>
      <c r="D133" s="29" t="s">
        <v>475</v>
      </c>
      <c r="E133" s="43" t="s">
        <v>470</v>
      </c>
      <c r="F133" s="29" t="s">
        <v>129</v>
      </c>
      <c r="G133" s="122">
        <v>27</v>
      </c>
      <c r="H133" s="122">
        <v>0</v>
      </c>
      <c r="I133" s="123">
        <v>0</v>
      </c>
      <c r="J133" s="122">
        <v>0</v>
      </c>
      <c r="K133" s="122">
        <v>0</v>
      </c>
      <c r="L133" s="122">
        <v>0</v>
      </c>
      <c r="M133" s="123">
        <v>22</v>
      </c>
      <c r="N133" s="123">
        <v>28.57</v>
      </c>
      <c r="O133" s="124">
        <f t="shared" si="2"/>
        <v>594</v>
      </c>
      <c r="P133" s="51" t="s">
        <v>1371</v>
      </c>
    </row>
    <row r="134" spans="1:16" x14ac:dyDescent="0.3">
      <c r="A134" s="16">
        <v>414</v>
      </c>
      <c r="B134" s="29" t="s">
        <v>544</v>
      </c>
      <c r="C134" s="29">
        <v>75437616</v>
      </c>
      <c r="D134" s="29" t="s">
        <v>473</v>
      </c>
      <c r="E134" s="43" t="s">
        <v>470</v>
      </c>
      <c r="F134" s="29" t="s">
        <v>129</v>
      </c>
      <c r="G134" s="122">
        <v>27</v>
      </c>
      <c r="H134" s="122">
        <v>0</v>
      </c>
      <c r="I134" s="123">
        <v>0</v>
      </c>
      <c r="J134" s="122">
        <v>0</v>
      </c>
      <c r="K134" s="122">
        <v>0</v>
      </c>
      <c r="L134" s="122">
        <v>0</v>
      </c>
      <c r="M134" s="123">
        <v>22</v>
      </c>
      <c r="N134" s="123">
        <v>28.57</v>
      </c>
      <c r="O134" s="124">
        <f t="shared" si="2"/>
        <v>594</v>
      </c>
      <c r="P134" s="51" t="s">
        <v>1371</v>
      </c>
    </row>
    <row r="135" spans="1:16" x14ac:dyDescent="0.3">
      <c r="A135" s="16">
        <v>727</v>
      </c>
      <c r="B135" s="29" t="s">
        <v>518</v>
      </c>
      <c r="C135" s="29">
        <v>75214930</v>
      </c>
      <c r="D135" s="29" t="s">
        <v>469</v>
      </c>
      <c r="E135" s="43" t="s">
        <v>470</v>
      </c>
      <c r="F135" s="29" t="s">
        <v>129</v>
      </c>
      <c r="G135" s="122">
        <v>26</v>
      </c>
      <c r="H135" s="122">
        <v>0</v>
      </c>
      <c r="I135" s="123">
        <v>0</v>
      </c>
      <c r="J135" s="122">
        <v>0</v>
      </c>
      <c r="K135" s="122">
        <v>0</v>
      </c>
      <c r="L135" s="122">
        <v>0</v>
      </c>
      <c r="M135" s="123">
        <v>45.54</v>
      </c>
      <c r="N135" s="123">
        <v>61.61</v>
      </c>
      <c r="O135" s="124">
        <f t="shared" si="2"/>
        <v>1184.04</v>
      </c>
      <c r="P135" s="51" t="s">
        <v>1371</v>
      </c>
    </row>
    <row r="136" spans="1:16" x14ac:dyDescent="0.3">
      <c r="A136" s="16">
        <v>4490</v>
      </c>
      <c r="B136" s="29" t="s">
        <v>537</v>
      </c>
      <c r="C136" s="29">
        <v>75437610</v>
      </c>
      <c r="D136" s="29" t="s">
        <v>472</v>
      </c>
      <c r="E136" s="43" t="s">
        <v>470</v>
      </c>
      <c r="F136" s="29" t="s">
        <v>129</v>
      </c>
      <c r="G136" s="122">
        <v>26</v>
      </c>
      <c r="H136" s="122">
        <v>0</v>
      </c>
      <c r="I136" s="123">
        <v>0</v>
      </c>
      <c r="J136" s="122">
        <v>0</v>
      </c>
      <c r="K136" s="122">
        <v>0</v>
      </c>
      <c r="L136" s="122">
        <v>0</v>
      </c>
      <c r="M136" s="123">
        <v>51</v>
      </c>
      <c r="N136" s="123">
        <v>66.069999999999993</v>
      </c>
      <c r="O136" s="124">
        <f t="shared" si="2"/>
        <v>1326</v>
      </c>
      <c r="P136" s="51" t="s">
        <v>1371</v>
      </c>
    </row>
    <row r="137" spans="1:16" x14ac:dyDescent="0.3">
      <c r="A137" s="16">
        <v>34</v>
      </c>
      <c r="B137" s="29" t="s">
        <v>529</v>
      </c>
      <c r="C137" s="29">
        <v>75437616</v>
      </c>
      <c r="D137" s="29" t="s">
        <v>473</v>
      </c>
      <c r="E137" s="43" t="s">
        <v>470</v>
      </c>
      <c r="F137" s="29" t="s">
        <v>129</v>
      </c>
      <c r="G137" s="122">
        <v>26</v>
      </c>
      <c r="H137" s="122">
        <v>0</v>
      </c>
      <c r="I137" s="123">
        <v>0</v>
      </c>
      <c r="J137" s="122">
        <v>0</v>
      </c>
      <c r="K137" s="122">
        <v>0</v>
      </c>
      <c r="L137" s="122">
        <v>0</v>
      </c>
      <c r="M137" s="123">
        <v>22</v>
      </c>
      <c r="N137" s="123">
        <v>28.57</v>
      </c>
      <c r="O137" s="124">
        <f t="shared" si="2"/>
        <v>572</v>
      </c>
      <c r="P137" s="51" t="s">
        <v>1371</v>
      </c>
    </row>
    <row r="138" spans="1:16" x14ac:dyDescent="0.3">
      <c r="A138" s="16">
        <v>35</v>
      </c>
      <c r="B138" s="29" t="s">
        <v>549</v>
      </c>
      <c r="C138" s="29">
        <v>75437616</v>
      </c>
      <c r="D138" s="29" t="s">
        <v>473</v>
      </c>
      <c r="E138" s="43" t="s">
        <v>470</v>
      </c>
      <c r="F138" s="29" t="s">
        <v>129</v>
      </c>
      <c r="G138" s="122">
        <v>26</v>
      </c>
      <c r="H138" s="122">
        <v>0</v>
      </c>
      <c r="I138" s="123">
        <v>0</v>
      </c>
      <c r="J138" s="122">
        <v>0</v>
      </c>
      <c r="K138" s="122">
        <v>0</v>
      </c>
      <c r="L138" s="122">
        <v>0</v>
      </c>
      <c r="M138" s="123">
        <v>22</v>
      </c>
      <c r="N138" s="123">
        <v>28.57</v>
      </c>
      <c r="O138" s="124">
        <f t="shared" si="2"/>
        <v>572</v>
      </c>
      <c r="P138" s="51" t="s">
        <v>1371</v>
      </c>
    </row>
    <row r="139" spans="1:16" x14ac:dyDescent="0.3">
      <c r="A139" s="16">
        <v>169</v>
      </c>
      <c r="B139" s="29" t="s">
        <v>531</v>
      </c>
      <c r="C139" s="29">
        <v>75437616</v>
      </c>
      <c r="D139" s="29" t="s">
        <v>473</v>
      </c>
      <c r="E139" s="43" t="s">
        <v>470</v>
      </c>
      <c r="F139" s="29" t="s">
        <v>129</v>
      </c>
      <c r="G139" s="122">
        <v>26</v>
      </c>
      <c r="H139" s="122">
        <v>0</v>
      </c>
      <c r="I139" s="123">
        <v>0</v>
      </c>
      <c r="J139" s="122">
        <v>0</v>
      </c>
      <c r="K139" s="122">
        <v>0</v>
      </c>
      <c r="L139" s="122">
        <v>0</v>
      </c>
      <c r="M139" s="123">
        <v>22</v>
      </c>
      <c r="N139" s="123">
        <v>28.57</v>
      </c>
      <c r="O139" s="124">
        <f t="shared" si="2"/>
        <v>572</v>
      </c>
      <c r="P139" s="51" t="s">
        <v>1371</v>
      </c>
    </row>
    <row r="140" spans="1:16" x14ac:dyDescent="0.3">
      <c r="A140" s="16">
        <v>458</v>
      </c>
      <c r="B140" s="29" t="s">
        <v>548</v>
      </c>
      <c r="C140" s="29">
        <v>75437610</v>
      </c>
      <c r="D140" s="29" t="s">
        <v>472</v>
      </c>
      <c r="E140" s="43" t="s">
        <v>470</v>
      </c>
      <c r="F140" s="29" t="s">
        <v>129</v>
      </c>
      <c r="G140" s="122">
        <v>25</v>
      </c>
      <c r="H140" s="122">
        <v>0</v>
      </c>
      <c r="I140" s="123">
        <v>0</v>
      </c>
      <c r="J140" s="122">
        <v>0</v>
      </c>
      <c r="K140" s="122">
        <v>0</v>
      </c>
      <c r="L140" s="122">
        <v>0</v>
      </c>
      <c r="M140" s="123">
        <v>51</v>
      </c>
      <c r="N140" s="123">
        <v>66.069999999999993</v>
      </c>
      <c r="O140" s="124">
        <f t="shared" si="2"/>
        <v>1275</v>
      </c>
      <c r="P140" s="51" t="s">
        <v>1371</v>
      </c>
    </row>
    <row r="141" spans="1:16" x14ac:dyDescent="0.3">
      <c r="A141" s="16">
        <v>458</v>
      </c>
      <c r="B141" s="29" t="s">
        <v>548</v>
      </c>
      <c r="C141" s="29">
        <v>75437614</v>
      </c>
      <c r="D141" s="29" t="s">
        <v>475</v>
      </c>
      <c r="E141" s="43" t="s">
        <v>470</v>
      </c>
      <c r="F141" s="29" t="s">
        <v>129</v>
      </c>
      <c r="G141" s="122">
        <v>25</v>
      </c>
      <c r="H141" s="122">
        <v>0</v>
      </c>
      <c r="I141" s="123">
        <v>0</v>
      </c>
      <c r="J141" s="122">
        <v>0</v>
      </c>
      <c r="K141" s="122">
        <v>0</v>
      </c>
      <c r="L141" s="122">
        <v>0</v>
      </c>
      <c r="M141" s="123">
        <v>22</v>
      </c>
      <c r="N141" s="123">
        <v>28.57</v>
      </c>
      <c r="O141" s="124">
        <f t="shared" si="2"/>
        <v>550</v>
      </c>
      <c r="P141" s="51" t="s">
        <v>1371</v>
      </c>
    </row>
    <row r="142" spans="1:16" x14ac:dyDescent="0.3">
      <c r="A142" s="16">
        <v>33</v>
      </c>
      <c r="B142" s="29" t="s">
        <v>526</v>
      </c>
      <c r="C142" s="29">
        <v>75214930</v>
      </c>
      <c r="D142" s="29" t="s">
        <v>469</v>
      </c>
      <c r="E142" s="43" t="s">
        <v>470</v>
      </c>
      <c r="F142" s="29" t="s">
        <v>129</v>
      </c>
      <c r="G142" s="122">
        <v>24</v>
      </c>
      <c r="H142" s="122">
        <v>0</v>
      </c>
      <c r="I142" s="123">
        <v>0</v>
      </c>
      <c r="J142" s="122">
        <v>0</v>
      </c>
      <c r="K142" s="122">
        <v>0</v>
      </c>
      <c r="L142" s="122">
        <v>0</v>
      </c>
      <c r="M142" s="123">
        <v>45.54</v>
      </c>
      <c r="N142" s="123">
        <v>61.61</v>
      </c>
      <c r="O142" s="124">
        <f t="shared" si="2"/>
        <v>1092.96</v>
      </c>
      <c r="P142" s="51" t="s">
        <v>1371</v>
      </c>
    </row>
    <row r="143" spans="1:16" x14ac:dyDescent="0.3">
      <c r="A143" s="16">
        <v>46</v>
      </c>
      <c r="B143" s="29" t="s">
        <v>519</v>
      </c>
      <c r="C143" s="29">
        <v>75214930</v>
      </c>
      <c r="D143" s="29" t="s">
        <v>469</v>
      </c>
      <c r="E143" s="43" t="s">
        <v>470</v>
      </c>
      <c r="F143" s="29" t="s">
        <v>129</v>
      </c>
      <c r="G143" s="122">
        <v>24</v>
      </c>
      <c r="H143" s="122">
        <v>0</v>
      </c>
      <c r="I143" s="123">
        <v>0</v>
      </c>
      <c r="J143" s="122">
        <v>0</v>
      </c>
      <c r="K143" s="122">
        <v>0</v>
      </c>
      <c r="L143" s="122">
        <v>0</v>
      </c>
      <c r="M143" s="123">
        <v>45.54</v>
      </c>
      <c r="N143" s="123">
        <v>61.61</v>
      </c>
      <c r="O143" s="124">
        <f t="shared" si="2"/>
        <v>1092.96</v>
      </c>
      <c r="P143" s="51" t="s">
        <v>1371</v>
      </c>
    </row>
    <row r="144" spans="1:16" x14ac:dyDescent="0.3">
      <c r="A144" s="16">
        <v>419</v>
      </c>
      <c r="B144" s="29" t="s">
        <v>534</v>
      </c>
      <c r="C144" s="29">
        <v>75214930</v>
      </c>
      <c r="D144" s="29" t="s">
        <v>469</v>
      </c>
      <c r="E144" s="43" t="s">
        <v>470</v>
      </c>
      <c r="F144" s="29" t="s">
        <v>129</v>
      </c>
      <c r="G144" s="122">
        <v>24</v>
      </c>
      <c r="H144" s="122">
        <v>0</v>
      </c>
      <c r="I144" s="123">
        <v>0</v>
      </c>
      <c r="J144" s="122">
        <v>0</v>
      </c>
      <c r="K144" s="122">
        <v>0</v>
      </c>
      <c r="L144" s="122">
        <v>0</v>
      </c>
      <c r="M144" s="123">
        <v>45.54</v>
      </c>
      <c r="N144" s="123">
        <v>61.61</v>
      </c>
      <c r="O144" s="124">
        <f t="shared" si="2"/>
        <v>1092.96</v>
      </c>
      <c r="P144" s="51" t="s">
        <v>1371</v>
      </c>
    </row>
    <row r="145" spans="1:16" x14ac:dyDescent="0.3">
      <c r="A145" s="16">
        <v>4491</v>
      </c>
      <c r="B145" s="29" t="s">
        <v>559</v>
      </c>
      <c r="C145" s="29">
        <v>75214930</v>
      </c>
      <c r="D145" s="29" t="s">
        <v>469</v>
      </c>
      <c r="E145" s="43" t="s">
        <v>470</v>
      </c>
      <c r="F145" s="29" t="s">
        <v>129</v>
      </c>
      <c r="G145" s="122">
        <v>24</v>
      </c>
      <c r="H145" s="122">
        <v>0</v>
      </c>
      <c r="I145" s="123">
        <v>0</v>
      </c>
      <c r="J145" s="122">
        <v>0</v>
      </c>
      <c r="K145" s="122">
        <v>0</v>
      </c>
      <c r="L145" s="122">
        <v>0</v>
      </c>
      <c r="M145" s="123">
        <v>45.54</v>
      </c>
      <c r="N145" s="123">
        <v>61.61</v>
      </c>
      <c r="O145" s="124">
        <f t="shared" si="2"/>
        <v>1092.96</v>
      </c>
      <c r="P145" s="51" t="s">
        <v>1371</v>
      </c>
    </row>
    <row r="146" spans="1:16" x14ac:dyDescent="0.3">
      <c r="A146" s="16">
        <v>22</v>
      </c>
      <c r="B146" s="29" t="s">
        <v>509</v>
      </c>
      <c r="C146" s="29">
        <v>75437614</v>
      </c>
      <c r="D146" s="29" t="s">
        <v>475</v>
      </c>
      <c r="E146" s="43" t="s">
        <v>470</v>
      </c>
      <c r="F146" s="29" t="s">
        <v>129</v>
      </c>
      <c r="G146" s="122">
        <v>24</v>
      </c>
      <c r="H146" s="122">
        <v>0</v>
      </c>
      <c r="I146" s="123">
        <v>0</v>
      </c>
      <c r="J146" s="122">
        <v>0</v>
      </c>
      <c r="K146" s="122">
        <v>0</v>
      </c>
      <c r="L146" s="122">
        <v>0</v>
      </c>
      <c r="M146" s="123">
        <v>22</v>
      </c>
      <c r="N146" s="123">
        <v>28.57</v>
      </c>
      <c r="O146" s="124">
        <f t="shared" si="2"/>
        <v>528</v>
      </c>
      <c r="P146" s="51" t="s">
        <v>1371</v>
      </c>
    </row>
    <row r="147" spans="1:16" x14ac:dyDescent="0.3">
      <c r="A147" s="16">
        <v>108</v>
      </c>
      <c r="B147" s="29" t="s">
        <v>512</v>
      </c>
      <c r="C147" s="29">
        <v>75437616</v>
      </c>
      <c r="D147" s="29" t="s">
        <v>473</v>
      </c>
      <c r="E147" s="43" t="s">
        <v>470</v>
      </c>
      <c r="F147" s="29" t="s">
        <v>129</v>
      </c>
      <c r="G147" s="122">
        <v>24</v>
      </c>
      <c r="H147" s="122">
        <v>0</v>
      </c>
      <c r="I147" s="123">
        <v>0</v>
      </c>
      <c r="J147" s="122">
        <v>0</v>
      </c>
      <c r="K147" s="122">
        <v>0</v>
      </c>
      <c r="L147" s="122">
        <v>0</v>
      </c>
      <c r="M147" s="123">
        <v>22</v>
      </c>
      <c r="N147" s="123">
        <v>28.57</v>
      </c>
      <c r="O147" s="124">
        <f t="shared" si="2"/>
        <v>528</v>
      </c>
      <c r="P147" s="51" t="s">
        <v>1371</v>
      </c>
    </row>
    <row r="148" spans="1:16" x14ac:dyDescent="0.3">
      <c r="A148" s="16">
        <v>459</v>
      </c>
      <c r="B148" s="29" t="s">
        <v>527</v>
      </c>
      <c r="C148" s="29">
        <v>75437623</v>
      </c>
      <c r="D148" s="29" t="s">
        <v>474</v>
      </c>
      <c r="E148" s="43" t="s">
        <v>470</v>
      </c>
      <c r="F148" s="29" t="s">
        <v>129</v>
      </c>
      <c r="G148" s="122">
        <v>24</v>
      </c>
      <c r="H148" s="122">
        <v>0</v>
      </c>
      <c r="I148" s="123">
        <v>0</v>
      </c>
      <c r="J148" s="122">
        <v>0</v>
      </c>
      <c r="K148" s="122">
        <v>0</v>
      </c>
      <c r="L148" s="122">
        <v>0</v>
      </c>
      <c r="M148" s="123">
        <v>32.85</v>
      </c>
      <c r="N148" s="123">
        <v>42.63</v>
      </c>
      <c r="O148" s="124">
        <f t="shared" si="2"/>
        <v>788.40000000000009</v>
      </c>
      <c r="P148" s="51" t="s">
        <v>1371</v>
      </c>
    </row>
    <row r="149" spans="1:16" x14ac:dyDescent="0.3">
      <c r="A149" s="16">
        <v>727</v>
      </c>
      <c r="B149" s="29" t="s">
        <v>518</v>
      </c>
      <c r="C149" s="29">
        <v>75437623</v>
      </c>
      <c r="D149" s="29" t="s">
        <v>474</v>
      </c>
      <c r="E149" s="43" t="s">
        <v>470</v>
      </c>
      <c r="F149" s="29" t="s">
        <v>129</v>
      </c>
      <c r="G149" s="122">
        <v>24</v>
      </c>
      <c r="H149" s="122">
        <v>0</v>
      </c>
      <c r="I149" s="123">
        <v>0</v>
      </c>
      <c r="J149" s="122">
        <v>0</v>
      </c>
      <c r="K149" s="122">
        <v>0</v>
      </c>
      <c r="L149" s="122">
        <v>0</v>
      </c>
      <c r="M149" s="123">
        <v>32.85</v>
      </c>
      <c r="N149" s="123">
        <v>42.63</v>
      </c>
      <c r="O149" s="124">
        <f t="shared" si="2"/>
        <v>788.40000000000009</v>
      </c>
      <c r="P149" s="51" t="s">
        <v>1371</v>
      </c>
    </row>
    <row r="150" spans="1:16" x14ac:dyDescent="0.3">
      <c r="A150" s="16">
        <v>4412</v>
      </c>
      <c r="B150" s="29" t="s">
        <v>538</v>
      </c>
      <c r="C150" s="29">
        <v>75437623</v>
      </c>
      <c r="D150" s="29" t="s">
        <v>474</v>
      </c>
      <c r="E150" s="43" t="s">
        <v>470</v>
      </c>
      <c r="F150" s="29" t="s">
        <v>129</v>
      </c>
      <c r="G150" s="122">
        <v>24</v>
      </c>
      <c r="H150" s="122">
        <v>0</v>
      </c>
      <c r="I150" s="123">
        <v>0</v>
      </c>
      <c r="J150" s="122">
        <v>0</v>
      </c>
      <c r="K150" s="122">
        <v>0</v>
      </c>
      <c r="L150" s="122">
        <v>0</v>
      </c>
      <c r="M150" s="123">
        <v>32.85</v>
      </c>
      <c r="N150" s="123">
        <v>42.63</v>
      </c>
      <c r="O150" s="124">
        <f t="shared" si="2"/>
        <v>788.40000000000009</v>
      </c>
      <c r="P150" s="51" t="s">
        <v>1371</v>
      </c>
    </row>
    <row r="151" spans="1:16" x14ac:dyDescent="0.3">
      <c r="A151" s="16">
        <v>4087</v>
      </c>
      <c r="B151" s="29" t="s">
        <v>532</v>
      </c>
      <c r="C151" s="29">
        <v>75214930</v>
      </c>
      <c r="D151" s="29" t="s">
        <v>469</v>
      </c>
      <c r="E151" s="43" t="s">
        <v>470</v>
      </c>
      <c r="F151" s="29" t="s">
        <v>129</v>
      </c>
      <c r="G151" s="122">
        <v>23</v>
      </c>
      <c r="H151" s="122">
        <v>0</v>
      </c>
      <c r="I151" s="123">
        <v>0</v>
      </c>
      <c r="J151" s="122">
        <v>0</v>
      </c>
      <c r="K151" s="122">
        <v>0</v>
      </c>
      <c r="L151" s="122">
        <v>0</v>
      </c>
      <c r="M151" s="123">
        <v>45.54</v>
      </c>
      <c r="N151" s="123">
        <v>61.61</v>
      </c>
      <c r="O151" s="124">
        <f t="shared" si="2"/>
        <v>1047.42</v>
      </c>
      <c r="P151" s="51" t="s">
        <v>1371</v>
      </c>
    </row>
    <row r="152" spans="1:16" x14ac:dyDescent="0.3">
      <c r="A152" s="16">
        <v>4116</v>
      </c>
      <c r="B152" s="29" t="s">
        <v>557</v>
      </c>
      <c r="C152" s="29">
        <v>75214930</v>
      </c>
      <c r="D152" s="29" t="s">
        <v>469</v>
      </c>
      <c r="E152" s="43" t="s">
        <v>470</v>
      </c>
      <c r="F152" s="29" t="s">
        <v>129</v>
      </c>
      <c r="G152" s="122">
        <v>23</v>
      </c>
      <c r="H152" s="122">
        <v>0</v>
      </c>
      <c r="I152" s="123">
        <v>0</v>
      </c>
      <c r="J152" s="122">
        <v>0</v>
      </c>
      <c r="K152" s="122">
        <v>0</v>
      </c>
      <c r="L152" s="122">
        <v>0</v>
      </c>
      <c r="M152" s="123">
        <v>45.54</v>
      </c>
      <c r="N152" s="123">
        <v>61.61</v>
      </c>
      <c r="O152" s="124">
        <f t="shared" si="2"/>
        <v>1047.42</v>
      </c>
      <c r="P152" s="51" t="s">
        <v>1371</v>
      </c>
    </row>
    <row r="153" spans="1:16" x14ac:dyDescent="0.3">
      <c r="A153" s="16">
        <v>457</v>
      </c>
      <c r="B153" s="29" t="s">
        <v>511</v>
      </c>
      <c r="C153" s="29">
        <v>75437616</v>
      </c>
      <c r="D153" s="29" t="s">
        <v>473</v>
      </c>
      <c r="E153" s="43" t="s">
        <v>470</v>
      </c>
      <c r="F153" s="29" t="s">
        <v>129</v>
      </c>
      <c r="G153" s="122">
        <v>23</v>
      </c>
      <c r="H153" s="122">
        <v>0</v>
      </c>
      <c r="I153" s="123">
        <v>0</v>
      </c>
      <c r="J153" s="122">
        <v>0</v>
      </c>
      <c r="K153" s="122">
        <v>0</v>
      </c>
      <c r="L153" s="122">
        <v>0</v>
      </c>
      <c r="M153" s="123">
        <v>22</v>
      </c>
      <c r="N153" s="123">
        <v>28.57</v>
      </c>
      <c r="O153" s="124">
        <f t="shared" si="2"/>
        <v>506</v>
      </c>
      <c r="P153" s="51" t="s">
        <v>1371</v>
      </c>
    </row>
    <row r="154" spans="1:16" x14ac:dyDescent="0.3">
      <c r="A154" s="16">
        <v>35</v>
      </c>
      <c r="B154" s="29" t="s">
        <v>549</v>
      </c>
      <c r="C154" s="29">
        <v>75437610</v>
      </c>
      <c r="D154" s="29" t="s">
        <v>472</v>
      </c>
      <c r="E154" s="43" t="s">
        <v>470</v>
      </c>
      <c r="F154" s="29" t="s">
        <v>129</v>
      </c>
      <c r="G154" s="122">
        <v>22</v>
      </c>
      <c r="H154" s="122">
        <v>0</v>
      </c>
      <c r="I154" s="123">
        <v>0</v>
      </c>
      <c r="J154" s="122">
        <v>0</v>
      </c>
      <c r="K154" s="122">
        <v>0</v>
      </c>
      <c r="L154" s="122">
        <v>0</v>
      </c>
      <c r="M154" s="123">
        <v>51</v>
      </c>
      <c r="N154" s="123">
        <v>66.069999999999993</v>
      </c>
      <c r="O154" s="124">
        <f t="shared" si="2"/>
        <v>1122</v>
      </c>
      <c r="P154" s="51" t="s">
        <v>1371</v>
      </c>
    </row>
    <row r="155" spans="1:16" x14ac:dyDescent="0.3">
      <c r="A155" s="16">
        <v>4087</v>
      </c>
      <c r="B155" s="29" t="s">
        <v>532</v>
      </c>
      <c r="C155" s="29">
        <v>75437610</v>
      </c>
      <c r="D155" s="29" t="s">
        <v>472</v>
      </c>
      <c r="E155" s="43" t="s">
        <v>470</v>
      </c>
      <c r="F155" s="29" t="s">
        <v>129</v>
      </c>
      <c r="G155" s="122">
        <v>22</v>
      </c>
      <c r="H155" s="122">
        <v>0</v>
      </c>
      <c r="I155" s="123">
        <v>0</v>
      </c>
      <c r="J155" s="122">
        <v>0</v>
      </c>
      <c r="K155" s="122">
        <v>0</v>
      </c>
      <c r="L155" s="122">
        <v>0</v>
      </c>
      <c r="M155" s="123">
        <v>51</v>
      </c>
      <c r="N155" s="123">
        <v>66.069999999999993</v>
      </c>
      <c r="O155" s="124">
        <f t="shared" si="2"/>
        <v>1122</v>
      </c>
      <c r="P155" s="51" t="s">
        <v>1371</v>
      </c>
    </row>
    <row r="156" spans="1:16" x14ac:dyDescent="0.3">
      <c r="A156" s="16">
        <v>419</v>
      </c>
      <c r="B156" s="29" t="s">
        <v>534</v>
      </c>
      <c r="C156" s="29">
        <v>75437614</v>
      </c>
      <c r="D156" s="29" t="s">
        <v>475</v>
      </c>
      <c r="E156" s="43" t="s">
        <v>470</v>
      </c>
      <c r="F156" s="29" t="s">
        <v>129</v>
      </c>
      <c r="G156" s="122">
        <v>22</v>
      </c>
      <c r="H156" s="122">
        <v>0</v>
      </c>
      <c r="I156" s="123">
        <v>0</v>
      </c>
      <c r="J156" s="122">
        <v>0</v>
      </c>
      <c r="K156" s="122">
        <v>0</v>
      </c>
      <c r="L156" s="122">
        <v>0</v>
      </c>
      <c r="M156" s="123">
        <v>22</v>
      </c>
      <c r="N156" s="123">
        <v>28.57</v>
      </c>
      <c r="O156" s="124">
        <f t="shared" si="2"/>
        <v>484</v>
      </c>
      <c r="P156" s="51" t="s">
        <v>1371</v>
      </c>
    </row>
    <row r="157" spans="1:16" x14ac:dyDescent="0.3">
      <c r="A157" s="16">
        <v>169</v>
      </c>
      <c r="B157" s="29" t="s">
        <v>531</v>
      </c>
      <c r="C157" s="29">
        <v>75437623</v>
      </c>
      <c r="D157" s="29" t="s">
        <v>474</v>
      </c>
      <c r="E157" s="43" t="s">
        <v>470</v>
      </c>
      <c r="F157" s="29" t="s">
        <v>129</v>
      </c>
      <c r="G157" s="122">
        <v>22</v>
      </c>
      <c r="H157" s="122">
        <v>0</v>
      </c>
      <c r="I157" s="123">
        <v>0</v>
      </c>
      <c r="J157" s="122">
        <v>0</v>
      </c>
      <c r="K157" s="122">
        <v>0</v>
      </c>
      <c r="L157" s="122">
        <v>0</v>
      </c>
      <c r="M157" s="123">
        <v>32.85</v>
      </c>
      <c r="N157" s="123">
        <v>42.63</v>
      </c>
      <c r="O157" s="124">
        <f t="shared" si="2"/>
        <v>722.7</v>
      </c>
      <c r="P157" s="51" t="s">
        <v>1371</v>
      </c>
    </row>
    <row r="158" spans="1:16" x14ac:dyDescent="0.3">
      <c r="A158" s="16">
        <v>180</v>
      </c>
      <c r="B158" s="29" t="s">
        <v>528</v>
      </c>
      <c r="C158" s="29">
        <v>75437623</v>
      </c>
      <c r="D158" s="29" t="s">
        <v>474</v>
      </c>
      <c r="E158" s="43" t="s">
        <v>470</v>
      </c>
      <c r="F158" s="29" t="s">
        <v>129</v>
      </c>
      <c r="G158" s="122">
        <v>22</v>
      </c>
      <c r="H158" s="122">
        <v>0</v>
      </c>
      <c r="I158" s="123">
        <v>0</v>
      </c>
      <c r="J158" s="122">
        <v>0</v>
      </c>
      <c r="K158" s="122">
        <v>0</v>
      </c>
      <c r="L158" s="122">
        <v>0</v>
      </c>
      <c r="M158" s="123">
        <v>32.85</v>
      </c>
      <c r="N158" s="123">
        <v>42.63</v>
      </c>
      <c r="O158" s="124">
        <f t="shared" si="2"/>
        <v>722.7</v>
      </c>
      <c r="P158" s="51" t="s">
        <v>1371</v>
      </c>
    </row>
    <row r="159" spans="1:16" x14ac:dyDescent="0.3">
      <c r="A159" s="16">
        <v>4176</v>
      </c>
      <c r="B159" s="29" t="s">
        <v>536</v>
      </c>
      <c r="C159" s="29">
        <v>75214930</v>
      </c>
      <c r="D159" s="29" t="s">
        <v>469</v>
      </c>
      <c r="E159" s="43" t="s">
        <v>470</v>
      </c>
      <c r="F159" s="29" t="s">
        <v>129</v>
      </c>
      <c r="G159" s="122">
        <v>21</v>
      </c>
      <c r="H159" s="122">
        <v>0</v>
      </c>
      <c r="I159" s="123">
        <v>0</v>
      </c>
      <c r="J159" s="122">
        <v>0</v>
      </c>
      <c r="K159" s="122">
        <v>0</v>
      </c>
      <c r="L159" s="122">
        <v>0</v>
      </c>
      <c r="M159" s="123">
        <v>45.54</v>
      </c>
      <c r="N159" s="123">
        <v>61.61</v>
      </c>
      <c r="O159" s="124">
        <f t="shared" si="2"/>
        <v>956.34</v>
      </c>
      <c r="P159" s="51" t="s">
        <v>1371</v>
      </c>
    </row>
    <row r="160" spans="1:16" x14ac:dyDescent="0.3">
      <c r="A160" s="16">
        <v>108</v>
      </c>
      <c r="B160" s="29" t="s">
        <v>512</v>
      </c>
      <c r="C160" s="29">
        <v>75437610</v>
      </c>
      <c r="D160" s="29" t="s">
        <v>472</v>
      </c>
      <c r="E160" s="43" t="s">
        <v>470</v>
      </c>
      <c r="F160" s="29" t="s">
        <v>129</v>
      </c>
      <c r="G160" s="122">
        <v>21</v>
      </c>
      <c r="H160" s="122">
        <v>0</v>
      </c>
      <c r="I160" s="123">
        <v>0</v>
      </c>
      <c r="J160" s="122">
        <v>0</v>
      </c>
      <c r="K160" s="122">
        <v>0</v>
      </c>
      <c r="L160" s="122">
        <v>0</v>
      </c>
      <c r="M160" s="123">
        <v>51</v>
      </c>
      <c r="N160" s="123">
        <v>66.069999999999993</v>
      </c>
      <c r="O160" s="124">
        <f t="shared" si="2"/>
        <v>1071</v>
      </c>
      <c r="P160" s="51" t="s">
        <v>1371</v>
      </c>
    </row>
    <row r="161" spans="1:16" x14ac:dyDescent="0.3">
      <c r="A161" s="16">
        <v>46</v>
      </c>
      <c r="B161" s="29" t="s">
        <v>519</v>
      </c>
      <c r="C161" s="29">
        <v>75437623</v>
      </c>
      <c r="D161" s="29" t="s">
        <v>474</v>
      </c>
      <c r="E161" s="43" t="s">
        <v>470</v>
      </c>
      <c r="F161" s="29" t="s">
        <v>129</v>
      </c>
      <c r="G161" s="122">
        <v>21</v>
      </c>
      <c r="H161" s="122">
        <v>0</v>
      </c>
      <c r="I161" s="123">
        <v>0</v>
      </c>
      <c r="J161" s="122">
        <v>0</v>
      </c>
      <c r="K161" s="122">
        <v>0</v>
      </c>
      <c r="L161" s="122">
        <v>0</v>
      </c>
      <c r="M161" s="123">
        <v>32.85</v>
      </c>
      <c r="N161" s="123">
        <v>42.63</v>
      </c>
      <c r="O161" s="124">
        <f t="shared" si="2"/>
        <v>689.85</v>
      </c>
      <c r="P161" s="51" t="s">
        <v>1371</v>
      </c>
    </row>
    <row r="162" spans="1:16" x14ac:dyDescent="0.3">
      <c r="A162" s="16">
        <v>4370</v>
      </c>
      <c r="B162" s="29" t="s">
        <v>542</v>
      </c>
      <c r="C162" s="29">
        <v>75437623</v>
      </c>
      <c r="D162" s="29" t="s">
        <v>474</v>
      </c>
      <c r="E162" s="43" t="s">
        <v>470</v>
      </c>
      <c r="F162" s="29" t="s">
        <v>129</v>
      </c>
      <c r="G162" s="122">
        <v>21</v>
      </c>
      <c r="H162" s="122">
        <v>0</v>
      </c>
      <c r="I162" s="123">
        <v>0</v>
      </c>
      <c r="J162" s="122">
        <v>0</v>
      </c>
      <c r="K162" s="122">
        <v>0</v>
      </c>
      <c r="L162" s="122">
        <v>0</v>
      </c>
      <c r="M162" s="123">
        <v>32.85</v>
      </c>
      <c r="N162" s="123">
        <v>42.63</v>
      </c>
      <c r="O162" s="124">
        <f t="shared" si="2"/>
        <v>689.85</v>
      </c>
      <c r="P162" s="51" t="s">
        <v>1371</v>
      </c>
    </row>
    <row r="163" spans="1:16" x14ac:dyDescent="0.3">
      <c r="A163" s="16">
        <v>1054</v>
      </c>
      <c r="B163" s="29" t="s">
        <v>524</v>
      </c>
      <c r="C163" s="29">
        <v>75214930</v>
      </c>
      <c r="D163" s="29" t="s">
        <v>469</v>
      </c>
      <c r="E163" s="43" t="s">
        <v>470</v>
      </c>
      <c r="F163" s="29" t="s">
        <v>129</v>
      </c>
      <c r="G163" s="122">
        <v>20</v>
      </c>
      <c r="H163" s="122">
        <v>0</v>
      </c>
      <c r="I163" s="123">
        <v>0</v>
      </c>
      <c r="J163" s="122">
        <v>0</v>
      </c>
      <c r="K163" s="122">
        <v>0</v>
      </c>
      <c r="L163" s="122">
        <v>0</v>
      </c>
      <c r="M163" s="123">
        <v>45.54</v>
      </c>
      <c r="N163" s="123">
        <v>61.61</v>
      </c>
      <c r="O163" s="124">
        <f t="shared" si="2"/>
        <v>910.8</v>
      </c>
      <c r="P163" s="51" t="s">
        <v>1371</v>
      </c>
    </row>
    <row r="164" spans="1:16" x14ac:dyDescent="0.3">
      <c r="A164" s="16">
        <v>24</v>
      </c>
      <c r="B164" s="29" t="s">
        <v>543</v>
      </c>
      <c r="C164" s="29">
        <v>75437610</v>
      </c>
      <c r="D164" s="29" t="s">
        <v>472</v>
      </c>
      <c r="E164" s="43" t="s">
        <v>470</v>
      </c>
      <c r="F164" s="29" t="s">
        <v>129</v>
      </c>
      <c r="G164" s="122">
        <v>20</v>
      </c>
      <c r="H164" s="122">
        <v>0</v>
      </c>
      <c r="I164" s="123">
        <v>0</v>
      </c>
      <c r="J164" s="122">
        <v>0</v>
      </c>
      <c r="K164" s="122">
        <v>0</v>
      </c>
      <c r="L164" s="122">
        <v>0</v>
      </c>
      <c r="M164" s="123">
        <v>51</v>
      </c>
      <c r="N164" s="123">
        <v>66.069999999999993</v>
      </c>
      <c r="O164" s="124">
        <f t="shared" si="2"/>
        <v>1020</v>
      </c>
      <c r="P164" s="51" t="s">
        <v>1371</v>
      </c>
    </row>
    <row r="165" spans="1:16" x14ac:dyDescent="0.3">
      <c r="A165" s="16">
        <v>34</v>
      </c>
      <c r="B165" s="29" t="s">
        <v>529</v>
      </c>
      <c r="C165" s="29">
        <v>75437610</v>
      </c>
      <c r="D165" s="29" t="s">
        <v>472</v>
      </c>
      <c r="E165" s="43" t="s">
        <v>470</v>
      </c>
      <c r="F165" s="29" t="s">
        <v>129</v>
      </c>
      <c r="G165" s="122">
        <v>20</v>
      </c>
      <c r="H165" s="122">
        <v>0</v>
      </c>
      <c r="I165" s="123">
        <v>0</v>
      </c>
      <c r="J165" s="122">
        <v>0</v>
      </c>
      <c r="K165" s="122">
        <v>0</v>
      </c>
      <c r="L165" s="122">
        <v>0</v>
      </c>
      <c r="M165" s="123">
        <v>51</v>
      </c>
      <c r="N165" s="123">
        <v>66.069999999999993</v>
      </c>
      <c r="O165" s="124">
        <f t="shared" si="2"/>
        <v>1020</v>
      </c>
      <c r="P165" s="51" t="s">
        <v>1371</v>
      </c>
    </row>
    <row r="166" spans="1:16" x14ac:dyDescent="0.3">
      <c r="A166" s="16">
        <v>121</v>
      </c>
      <c r="B166" s="29" t="s">
        <v>522</v>
      </c>
      <c r="C166" s="29">
        <v>75437610</v>
      </c>
      <c r="D166" s="29" t="s">
        <v>472</v>
      </c>
      <c r="E166" s="43" t="s">
        <v>470</v>
      </c>
      <c r="F166" s="29" t="s">
        <v>129</v>
      </c>
      <c r="G166" s="122">
        <v>20</v>
      </c>
      <c r="H166" s="122">
        <v>0</v>
      </c>
      <c r="I166" s="123">
        <v>0</v>
      </c>
      <c r="J166" s="122">
        <v>0</v>
      </c>
      <c r="K166" s="122">
        <v>0</v>
      </c>
      <c r="L166" s="122">
        <v>0</v>
      </c>
      <c r="M166" s="123">
        <v>51</v>
      </c>
      <c r="N166" s="123">
        <v>66.069999999999993</v>
      </c>
      <c r="O166" s="124">
        <f t="shared" si="2"/>
        <v>1020</v>
      </c>
      <c r="P166" s="51" t="s">
        <v>1371</v>
      </c>
    </row>
    <row r="167" spans="1:16" x14ac:dyDescent="0.3">
      <c r="A167" s="16">
        <v>164</v>
      </c>
      <c r="B167" s="29" t="s">
        <v>555</v>
      </c>
      <c r="C167" s="29">
        <v>75437610</v>
      </c>
      <c r="D167" s="29" t="s">
        <v>472</v>
      </c>
      <c r="E167" s="43" t="s">
        <v>470</v>
      </c>
      <c r="F167" s="29" t="s">
        <v>129</v>
      </c>
      <c r="G167" s="122">
        <v>20</v>
      </c>
      <c r="H167" s="122">
        <v>0</v>
      </c>
      <c r="I167" s="123">
        <v>0</v>
      </c>
      <c r="J167" s="122">
        <v>0</v>
      </c>
      <c r="K167" s="122">
        <v>0</v>
      </c>
      <c r="L167" s="122">
        <v>0</v>
      </c>
      <c r="M167" s="123">
        <v>51</v>
      </c>
      <c r="N167" s="123">
        <v>66.069999999999993</v>
      </c>
      <c r="O167" s="124">
        <f t="shared" si="2"/>
        <v>1020</v>
      </c>
      <c r="P167" s="51" t="s">
        <v>1371</v>
      </c>
    </row>
    <row r="168" spans="1:16" x14ac:dyDescent="0.3">
      <c r="A168" s="16">
        <v>419</v>
      </c>
      <c r="B168" s="29" t="s">
        <v>534</v>
      </c>
      <c r="C168" s="29">
        <v>75437610</v>
      </c>
      <c r="D168" s="29" t="s">
        <v>472</v>
      </c>
      <c r="E168" s="43" t="s">
        <v>470</v>
      </c>
      <c r="F168" s="29" t="s">
        <v>129</v>
      </c>
      <c r="G168" s="122">
        <v>20</v>
      </c>
      <c r="H168" s="122">
        <v>0</v>
      </c>
      <c r="I168" s="123">
        <v>0</v>
      </c>
      <c r="J168" s="122">
        <v>0</v>
      </c>
      <c r="K168" s="122">
        <v>0</v>
      </c>
      <c r="L168" s="122">
        <v>0</v>
      </c>
      <c r="M168" s="123">
        <v>51</v>
      </c>
      <c r="N168" s="123">
        <v>66.069999999999993</v>
      </c>
      <c r="O168" s="124">
        <f t="shared" si="2"/>
        <v>1020</v>
      </c>
      <c r="P168" s="51" t="s">
        <v>1371</v>
      </c>
    </row>
    <row r="169" spans="1:16" x14ac:dyDescent="0.3">
      <c r="A169" s="16">
        <v>4414</v>
      </c>
      <c r="B169" s="29" t="s">
        <v>525</v>
      </c>
      <c r="C169" s="29">
        <v>75437610</v>
      </c>
      <c r="D169" s="29" t="s">
        <v>472</v>
      </c>
      <c r="E169" s="43" t="s">
        <v>470</v>
      </c>
      <c r="F169" s="29" t="s">
        <v>129</v>
      </c>
      <c r="G169" s="122">
        <v>20</v>
      </c>
      <c r="H169" s="122">
        <v>0</v>
      </c>
      <c r="I169" s="123">
        <v>0</v>
      </c>
      <c r="J169" s="122">
        <v>0</v>
      </c>
      <c r="K169" s="122">
        <v>0</v>
      </c>
      <c r="L169" s="122">
        <v>0</v>
      </c>
      <c r="M169" s="123">
        <v>51</v>
      </c>
      <c r="N169" s="123">
        <v>66.069999999999993</v>
      </c>
      <c r="O169" s="124">
        <f t="shared" si="2"/>
        <v>1020</v>
      </c>
      <c r="P169" s="51" t="s">
        <v>1371</v>
      </c>
    </row>
    <row r="170" spans="1:16" x14ac:dyDescent="0.3">
      <c r="A170" s="16">
        <v>459</v>
      </c>
      <c r="B170" s="29" t="s">
        <v>527</v>
      </c>
      <c r="C170" s="29">
        <v>75437614</v>
      </c>
      <c r="D170" s="29" t="s">
        <v>475</v>
      </c>
      <c r="E170" s="43" t="s">
        <v>470</v>
      </c>
      <c r="F170" s="29" t="s">
        <v>129</v>
      </c>
      <c r="G170" s="122">
        <v>20</v>
      </c>
      <c r="H170" s="122">
        <v>0</v>
      </c>
      <c r="I170" s="123">
        <v>0</v>
      </c>
      <c r="J170" s="122">
        <v>0</v>
      </c>
      <c r="K170" s="122">
        <v>0</v>
      </c>
      <c r="L170" s="122">
        <v>0</v>
      </c>
      <c r="M170" s="123">
        <v>22</v>
      </c>
      <c r="N170" s="123">
        <v>28.57</v>
      </c>
      <c r="O170" s="124">
        <f t="shared" si="2"/>
        <v>440</v>
      </c>
      <c r="P170" s="51" t="s">
        <v>1371</v>
      </c>
    </row>
    <row r="171" spans="1:16" x14ac:dyDescent="0.3">
      <c r="A171" s="16">
        <v>948</v>
      </c>
      <c r="B171" s="29" t="s">
        <v>553</v>
      </c>
      <c r="C171" s="29">
        <v>75437614</v>
      </c>
      <c r="D171" s="29" t="s">
        <v>475</v>
      </c>
      <c r="E171" s="43" t="s">
        <v>470</v>
      </c>
      <c r="F171" s="29" t="s">
        <v>129</v>
      </c>
      <c r="G171" s="122">
        <v>20</v>
      </c>
      <c r="H171" s="122">
        <v>0</v>
      </c>
      <c r="I171" s="123">
        <v>0</v>
      </c>
      <c r="J171" s="122">
        <v>0</v>
      </c>
      <c r="K171" s="122">
        <v>0</v>
      </c>
      <c r="L171" s="122">
        <v>0</v>
      </c>
      <c r="M171" s="123">
        <v>22</v>
      </c>
      <c r="N171" s="123">
        <v>28.57</v>
      </c>
      <c r="O171" s="124">
        <f t="shared" si="2"/>
        <v>440</v>
      </c>
      <c r="P171" s="51" t="s">
        <v>1371</v>
      </c>
    </row>
    <row r="172" spans="1:16" x14ac:dyDescent="0.3">
      <c r="A172" s="16">
        <v>4176</v>
      </c>
      <c r="B172" s="29" t="s">
        <v>536</v>
      </c>
      <c r="C172" s="29">
        <v>75437614</v>
      </c>
      <c r="D172" s="29" t="s">
        <v>475</v>
      </c>
      <c r="E172" s="43" t="s">
        <v>470</v>
      </c>
      <c r="F172" s="29" t="s">
        <v>129</v>
      </c>
      <c r="G172" s="122">
        <v>20</v>
      </c>
      <c r="H172" s="122">
        <v>0</v>
      </c>
      <c r="I172" s="123">
        <v>0</v>
      </c>
      <c r="J172" s="122">
        <v>0</v>
      </c>
      <c r="K172" s="122">
        <v>0</v>
      </c>
      <c r="L172" s="122">
        <v>0</v>
      </c>
      <c r="M172" s="123">
        <v>22</v>
      </c>
      <c r="N172" s="123">
        <v>28.57</v>
      </c>
      <c r="O172" s="124">
        <f t="shared" si="2"/>
        <v>440</v>
      </c>
      <c r="P172" s="51" t="s">
        <v>1371</v>
      </c>
    </row>
    <row r="173" spans="1:16" x14ac:dyDescent="0.3">
      <c r="A173" s="16">
        <v>21</v>
      </c>
      <c r="B173" s="29" t="s">
        <v>550</v>
      </c>
      <c r="C173" s="29">
        <v>75437616</v>
      </c>
      <c r="D173" s="29" t="s">
        <v>473</v>
      </c>
      <c r="E173" s="43" t="s">
        <v>470</v>
      </c>
      <c r="F173" s="29" t="s">
        <v>129</v>
      </c>
      <c r="G173" s="122">
        <v>20</v>
      </c>
      <c r="H173" s="122">
        <v>0</v>
      </c>
      <c r="I173" s="123">
        <v>0</v>
      </c>
      <c r="J173" s="122">
        <v>0</v>
      </c>
      <c r="K173" s="122">
        <v>0</v>
      </c>
      <c r="L173" s="122">
        <v>0</v>
      </c>
      <c r="M173" s="123">
        <v>22</v>
      </c>
      <c r="N173" s="123">
        <v>28.57</v>
      </c>
      <c r="O173" s="124">
        <f t="shared" si="2"/>
        <v>440</v>
      </c>
      <c r="P173" s="51" t="s">
        <v>1371</v>
      </c>
    </row>
    <row r="174" spans="1:16" x14ac:dyDescent="0.3">
      <c r="A174" s="16">
        <v>419</v>
      </c>
      <c r="B174" s="29" t="s">
        <v>534</v>
      </c>
      <c r="C174" s="29">
        <v>75437616</v>
      </c>
      <c r="D174" s="29" t="s">
        <v>473</v>
      </c>
      <c r="E174" s="43" t="s">
        <v>470</v>
      </c>
      <c r="F174" s="29" t="s">
        <v>129</v>
      </c>
      <c r="G174" s="122">
        <v>20</v>
      </c>
      <c r="H174" s="122">
        <v>0</v>
      </c>
      <c r="I174" s="123">
        <v>0</v>
      </c>
      <c r="J174" s="122">
        <v>0</v>
      </c>
      <c r="K174" s="122">
        <v>0</v>
      </c>
      <c r="L174" s="122">
        <v>0</v>
      </c>
      <c r="M174" s="123">
        <v>22</v>
      </c>
      <c r="N174" s="123">
        <v>28.57</v>
      </c>
      <c r="O174" s="124">
        <f t="shared" si="2"/>
        <v>440</v>
      </c>
      <c r="P174" s="51" t="s">
        <v>1371</v>
      </c>
    </row>
    <row r="175" spans="1:16" x14ac:dyDescent="0.3">
      <c r="A175" s="16">
        <v>35</v>
      </c>
      <c r="B175" s="29" t="s">
        <v>549</v>
      </c>
      <c r="C175" s="29">
        <v>75437623</v>
      </c>
      <c r="D175" s="29" t="s">
        <v>474</v>
      </c>
      <c r="E175" s="43" t="s">
        <v>470</v>
      </c>
      <c r="F175" s="29" t="s">
        <v>129</v>
      </c>
      <c r="G175" s="122">
        <v>20</v>
      </c>
      <c r="H175" s="122">
        <v>0</v>
      </c>
      <c r="I175" s="123">
        <v>0</v>
      </c>
      <c r="J175" s="122">
        <v>0</v>
      </c>
      <c r="K175" s="122">
        <v>0</v>
      </c>
      <c r="L175" s="122">
        <v>0</v>
      </c>
      <c r="M175" s="123">
        <v>32.85</v>
      </c>
      <c r="N175" s="123">
        <v>42.63</v>
      </c>
      <c r="O175" s="124">
        <f t="shared" si="2"/>
        <v>657</v>
      </c>
      <c r="P175" s="51" t="s">
        <v>1371</v>
      </c>
    </row>
    <row r="176" spans="1:16" x14ac:dyDescent="0.3">
      <c r="A176" s="16">
        <v>344</v>
      </c>
      <c r="B176" s="29" t="s">
        <v>535</v>
      </c>
      <c r="C176" s="29">
        <v>75437623</v>
      </c>
      <c r="D176" s="29" t="s">
        <v>474</v>
      </c>
      <c r="E176" s="43" t="s">
        <v>470</v>
      </c>
      <c r="F176" s="29" t="s">
        <v>129</v>
      </c>
      <c r="G176" s="122">
        <v>20</v>
      </c>
      <c r="H176" s="122">
        <v>0</v>
      </c>
      <c r="I176" s="123">
        <v>0</v>
      </c>
      <c r="J176" s="122">
        <v>0</v>
      </c>
      <c r="K176" s="122">
        <v>0</v>
      </c>
      <c r="L176" s="122">
        <v>0</v>
      </c>
      <c r="M176" s="123">
        <v>32.85</v>
      </c>
      <c r="N176" s="123">
        <v>42.63</v>
      </c>
      <c r="O176" s="124">
        <f t="shared" si="2"/>
        <v>657</v>
      </c>
      <c r="P176" s="51" t="s">
        <v>1371</v>
      </c>
    </row>
    <row r="177" spans="1:16" x14ac:dyDescent="0.3">
      <c r="A177" s="16">
        <v>414</v>
      </c>
      <c r="B177" s="29" t="s">
        <v>544</v>
      </c>
      <c r="C177" s="29">
        <v>75437623</v>
      </c>
      <c r="D177" s="29" t="s">
        <v>474</v>
      </c>
      <c r="E177" s="43" t="s">
        <v>470</v>
      </c>
      <c r="F177" s="29" t="s">
        <v>129</v>
      </c>
      <c r="G177" s="122">
        <v>20</v>
      </c>
      <c r="H177" s="122">
        <v>0</v>
      </c>
      <c r="I177" s="123">
        <v>0</v>
      </c>
      <c r="J177" s="122">
        <v>0</v>
      </c>
      <c r="K177" s="122">
        <v>0</v>
      </c>
      <c r="L177" s="122">
        <v>0</v>
      </c>
      <c r="M177" s="123">
        <v>32.85</v>
      </c>
      <c r="N177" s="123">
        <v>42.63</v>
      </c>
      <c r="O177" s="124">
        <f t="shared" si="2"/>
        <v>657</v>
      </c>
      <c r="P177" s="51" t="s">
        <v>1371</v>
      </c>
    </row>
    <row r="178" spans="1:16" x14ac:dyDescent="0.3">
      <c r="A178" s="16">
        <v>419</v>
      </c>
      <c r="B178" s="29" t="s">
        <v>534</v>
      </c>
      <c r="C178" s="29">
        <v>75437623</v>
      </c>
      <c r="D178" s="29" t="s">
        <v>474</v>
      </c>
      <c r="E178" s="43" t="s">
        <v>470</v>
      </c>
      <c r="F178" s="29" t="s">
        <v>129</v>
      </c>
      <c r="G178" s="122">
        <v>20</v>
      </c>
      <c r="H178" s="122">
        <v>0</v>
      </c>
      <c r="I178" s="123">
        <v>0</v>
      </c>
      <c r="J178" s="122">
        <v>0</v>
      </c>
      <c r="K178" s="122">
        <v>0</v>
      </c>
      <c r="L178" s="122">
        <v>0</v>
      </c>
      <c r="M178" s="123">
        <v>32.85</v>
      </c>
      <c r="N178" s="123">
        <v>42.63</v>
      </c>
      <c r="O178" s="124">
        <f t="shared" si="2"/>
        <v>657</v>
      </c>
      <c r="P178" s="51" t="s">
        <v>1371</v>
      </c>
    </row>
    <row r="179" spans="1:16" x14ac:dyDescent="0.3">
      <c r="A179" s="16">
        <v>460</v>
      </c>
      <c r="B179" s="29" t="s">
        <v>546</v>
      </c>
      <c r="C179" s="29">
        <v>75437623</v>
      </c>
      <c r="D179" s="29" t="s">
        <v>474</v>
      </c>
      <c r="E179" s="43" t="s">
        <v>470</v>
      </c>
      <c r="F179" s="29" t="s">
        <v>129</v>
      </c>
      <c r="G179" s="122">
        <v>20</v>
      </c>
      <c r="H179" s="122">
        <v>0</v>
      </c>
      <c r="I179" s="123">
        <v>0</v>
      </c>
      <c r="J179" s="122">
        <v>0</v>
      </c>
      <c r="K179" s="122">
        <v>0</v>
      </c>
      <c r="L179" s="122">
        <v>0</v>
      </c>
      <c r="M179" s="123">
        <v>32.85</v>
      </c>
      <c r="N179" s="123">
        <v>42.63</v>
      </c>
      <c r="O179" s="124">
        <f t="shared" si="2"/>
        <v>657</v>
      </c>
      <c r="P179" s="51" t="s">
        <v>1371</v>
      </c>
    </row>
    <row r="180" spans="1:16" x14ac:dyDescent="0.3">
      <c r="A180" s="16">
        <v>4490</v>
      </c>
      <c r="B180" s="29" t="s">
        <v>537</v>
      </c>
      <c r="C180" s="29">
        <v>75437623</v>
      </c>
      <c r="D180" s="29" t="s">
        <v>474</v>
      </c>
      <c r="E180" s="43" t="s">
        <v>470</v>
      </c>
      <c r="F180" s="29" t="s">
        <v>129</v>
      </c>
      <c r="G180" s="122">
        <v>20</v>
      </c>
      <c r="H180" s="122">
        <v>0</v>
      </c>
      <c r="I180" s="123">
        <v>0</v>
      </c>
      <c r="J180" s="122">
        <v>0</v>
      </c>
      <c r="K180" s="122">
        <v>0</v>
      </c>
      <c r="L180" s="122">
        <v>0</v>
      </c>
      <c r="M180" s="123">
        <v>32.85</v>
      </c>
      <c r="N180" s="123">
        <v>42.63</v>
      </c>
      <c r="O180" s="124">
        <f t="shared" si="2"/>
        <v>657</v>
      </c>
      <c r="P180" s="51" t="s">
        <v>1371</v>
      </c>
    </row>
    <row r="181" spans="1:16" x14ac:dyDescent="0.3">
      <c r="A181" s="16">
        <v>21</v>
      </c>
      <c r="B181" s="29" t="s">
        <v>550</v>
      </c>
      <c r="C181" s="29">
        <v>75437610</v>
      </c>
      <c r="D181" s="29" t="s">
        <v>472</v>
      </c>
      <c r="E181" s="43" t="s">
        <v>470</v>
      </c>
      <c r="F181" s="29" t="s">
        <v>129</v>
      </c>
      <c r="G181" s="122">
        <v>19</v>
      </c>
      <c r="H181" s="122">
        <v>0</v>
      </c>
      <c r="I181" s="123">
        <v>0</v>
      </c>
      <c r="J181" s="122">
        <v>0</v>
      </c>
      <c r="K181" s="122">
        <v>0</v>
      </c>
      <c r="L181" s="122">
        <v>0</v>
      </c>
      <c r="M181" s="123">
        <v>51</v>
      </c>
      <c r="N181" s="123">
        <v>66.069999999999993</v>
      </c>
      <c r="O181" s="124">
        <f t="shared" si="2"/>
        <v>969</v>
      </c>
      <c r="P181" s="51" t="s">
        <v>1371</v>
      </c>
    </row>
    <row r="182" spans="1:16" x14ac:dyDescent="0.3">
      <c r="A182" s="16">
        <v>46</v>
      </c>
      <c r="B182" s="29" t="s">
        <v>519</v>
      </c>
      <c r="C182" s="29">
        <v>75437610</v>
      </c>
      <c r="D182" s="29" t="s">
        <v>472</v>
      </c>
      <c r="E182" s="43" t="s">
        <v>470</v>
      </c>
      <c r="F182" s="29" t="s">
        <v>129</v>
      </c>
      <c r="G182" s="122">
        <v>19</v>
      </c>
      <c r="H182" s="122">
        <v>0</v>
      </c>
      <c r="I182" s="123">
        <v>0</v>
      </c>
      <c r="J182" s="122">
        <v>0</v>
      </c>
      <c r="K182" s="122">
        <v>0</v>
      </c>
      <c r="L182" s="122">
        <v>0</v>
      </c>
      <c r="M182" s="123">
        <v>51</v>
      </c>
      <c r="N182" s="123">
        <v>66.069999999999993</v>
      </c>
      <c r="O182" s="124">
        <f t="shared" si="2"/>
        <v>969</v>
      </c>
      <c r="P182" s="51" t="s">
        <v>1371</v>
      </c>
    </row>
    <row r="183" spans="1:16" x14ac:dyDescent="0.3">
      <c r="A183" s="16">
        <v>4176</v>
      </c>
      <c r="B183" s="29" t="s">
        <v>536</v>
      </c>
      <c r="C183" s="29">
        <v>75437610</v>
      </c>
      <c r="D183" s="29" t="s">
        <v>472</v>
      </c>
      <c r="E183" s="43" t="s">
        <v>470</v>
      </c>
      <c r="F183" s="29" t="s">
        <v>129</v>
      </c>
      <c r="G183" s="122">
        <v>19</v>
      </c>
      <c r="H183" s="122">
        <v>0</v>
      </c>
      <c r="I183" s="123">
        <v>0</v>
      </c>
      <c r="J183" s="122">
        <v>0</v>
      </c>
      <c r="K183" s="122">
        <v>0</v>
      </c>
      <c r="L183" s="122">
        <v>0</v>
      </c>
      <c r="M183" s="123">
        <v>51</v>
      </c>
      <c r="N183" s="123">
        <v>66.069999999999993</v>
      </c>
      <c r="O183" s="124">
        <f t="shared" si="2"/>
        <v>969</v>
      </c>
      <c r="P183" s="51" t="s">
        <v>1371</v>
      </c>
    </row>
    <row r="184" spans="1:16" x14ac:dyDescent="0.3">
      <c r="A184" s="16">
        <v>46</v>
      </c>
      <c r="B184" s="29" t="s">
        <v>519</v>
      </c>
      <c r="C184" s="29">
        <v>75437614</v>
      </c>
      <c r="D184" s="29" t="s">
        <v>475</v>
      </c>
      <c r="E184" s="43" t="s">
        <v>470</v>
      </c>
      <c r="F184" s="29" t="s">
        <v>129</v>
      </c>
      <c r="G184" s="122">
        <v>19</v>
      </c>
      <c r="H184" s="122">
        <v>0</v>
      </c>
      <c r="I184" s="123">
        <v>0</v>
      </c>
      <c r="J184" s="122">
        <v>0</v>
      </c>
      <c r="K184" s="122">
        <v>0</v>
      </c>
      <c r="L184" s="122">
        <v>0</v>
      </c>
      <c r="M184" s="123">
        <v>22</v>
      </c>
      <c r="N184" s="123">
        <v>28.57</v>
      </c>
      <c r="O184" s="124">
        <f t="shared" si="2"/>
        <v>418</v>
      </c>
      <c r="P184" s="51" t="s">
        <v>1371</v>
      </c>
    </row>
    <row r="185" spans="1:16" x14ac:dyDescent="0.3">
      <c r="A185" s="16">
        <v>4317</v>
      </c>
      <c r="B185" s="29" t="s">
        <v>540</v>
      </c>
      <c r="C185" s="29">
        <v>75437614</v>
      </c>
      <c r="D185" s="29" t="s">
        <v>475</v>
      </c>
      <c r="E185" s="43" t="s">
        <v>470</v>
      </c>
      <c r="F185" s="29" t="s">
        <v>129</v>
      </c>
      <c r="G185" s="122">
        <v>19</v>
      </c>
      <c r="H185" s="122">
        <v>0</v>
      </c>
      <c r="I185" s="123">
        <v>0</v>
      </c>
      <c r="J185" s="122">
        <v>0</v>
      </c>
      <c r="K185" s="122">
        <v>0</v>
      </c>
      <c r="L185" s="122">
        <v>0</v>
      </c>
      <c r="M185" s="123">
        <v>22</v>
      </c>
      <c r="N185" s="123">
        <v>28.57</v>
      </c>
      <c r="O185" s="124">
        <f t="shared" si="2"/>
        <v>418</v>
      </c>
      <c r="P185" s="51" t="s">
        <v>1371</v>
      </c>
    </row>
    <row r="186" spans="1:16" x14ac:dyDescent="0.3">
      <c r="A186" s="16">
        <v>4370</v>
      </c>
      <c r="B186" s="29" t="s">
        <v>542</v>
      </c>
      <c r="C186" s="29">
        <v>75437614</v>
      </c>
      <c r="D186" s="29" t="s">
        <v>475</v>
      </c>
      <c r="E186" s="43" t="s">
        <v>470</v>
      </c>
      <c r="F186" s="29" t="s">
        <v>129</v>
      </c>
      <c r="G186" s="122">
        <v>19</v>
      </c>
      <c r="H186" s="122">
        <v>0</v>
      </c>
      <c r="I186" s="123">
        <v>0</v>
      </c>
      <c r="J186" s="122">
        <v>0</v>
      </c>
      <c r="K186" s="122">
        <v>0</v>
      </c>
      <c r="L186" s="122">
        <v>0</v>
      </c>
      <c r="M186" s="123">
        <v>22</v>
      </c>
      <c r="N186" s="123">
        <v>28.57</v>
      </c>
      <c r="O186" s="124">
        <f t="shared" si="2"/>
        <v>418</v>
      </c>
      <c r="P186" s="51" t="s">
        <v>1371</v>
      </c>
    </row>
    <row r="187" spans="1:16" x14ac:dyDescent="0.3">
      <c r="A187" s="16">
        <v>460</v>
      </c>
      <c r="B187" s="29" t="s">
        <v>546</v>
      </c>
      <c r="C187" s="29">
        <v>75437616</v>
      </c>
      <c r="D187" s="29" t="s">
        <v>473</v>
      </c>
      <c r="E187" s="43" t="s">
        <v>470</v>
      </c>
      <c r="F187" s="29" t="s">
        <v>129</v>
      </c>
      <c r="G187" s="122">
        <v>19</v>
      </c>
      <c r="H187" s="122">
        <v>0</v>
      </c>
      <c r="I187" s="123">
        <v>0</v>
      </c>
      <c r="J187" s="122">
        <v>0</v>
      </c>
      <c r="K187" s="122">
        <v>0</v>
      </c>
      <c r="L187" s="122">
        <v>0</v>
      </c>
      <c r="M187" s="123">
        <v>22</v>
      </c>
      <c r="N187" s="123">
        <v>28.57</v>
      </c>
      <c r="O187" s="124">
        <f t="shared" si="2"/>
        <v>418</v>
      </c>
      <c r="P187" s="51" t="s">
        <v>1371</v>
      </c>
    </row>
    <row r="188" spans="1:16" x14ac:dyDescent="0.3">
      <c r="A188" s="16">
        <v>20</v>
      </c>
      <c r="B188" s="29" t="s">
        <v>552</v>
      </c>
      <c r="C188" s="29">
        <v>75437610</v>
      </c>
      <c r="D188" s="29" t="s">
        <v>472</v>
      </c>
      <c r="E188" s="43" t="s">
        <v>470</v>
      </c>
      <c r="F188" s="29" t="s">
        <v>129</v>
      </c>
      <c r="G188" s="122">
        <v>18</v>
      </c>
      <c r="H188" s="122">
        <v>0</v>
      </c>
      <c r="I188" s="123">
        <v>0</v>
      </c>
      <c r="J188" s="122">
        <v>0</v>
      </c>
      <c r="K188" s="122">
        <v>0</v>
      </c>
      <c r="L188" s="122">
        <v>0</v>
      </c>
      <c r="M188" s="123">
        <v>51</v>
      </c>
      <c r="N188" s="123">
        <v>66.069999999999993</v>
      </c>
      <c r="O188" s="124">
        <f t="shared" si="2"/>
        <v>918</v>
      </c>
      <c r="P188" s="51" t="s">
        <v>1371</v>
      </c>
    </row>
    <row r="189" spans="1:16" x14ac:dyDescent="0.3">
      <c r="A189" s="16">
        <v>4126</v>
      </c>
      <c r="B189" s="29" t="s">
        <v>547</v>
      </c>
      <c r="C189" s="29">
        <v>75437610</v>
      </c>
      <c r="D189" s="29" t="s">
        <v>472</v>
      </c>
      <c r="E189" s="43" t="s">
        <v>470</v>
      </c>
      <c r="F189" s="29" t="s">
        <v>129</v>
      </c>
      <c r="G189" s="122">
        <v>18</v>
      </c>
      <c r="H189" s="122">
        <v>0</v>
      </c>
      <c r="I189" s="123">
        <v>0</v>
      </c>
      <c r="J189" s="122">
        <v>0</v>
      </c>
      <c r="K189" s="122">
        <v>0</v>
      </c>
      <c r="L189" s="122">
        <v>0</v>
      </c>
      <c r="M189" s="123">
        <v>51</v>
      </c>
      <c r="N189" s="123">
        <v>66.069999999999993</v>
      </c>
      <c r="O189" s="124">
        <f t="shared" si="2"/>
        <v>918</v>
      </c>
      <c r="P189" s="51" t="s">
        <v>1371</v>
      </c>
    </row>
    <row r="190" spans="1:16" x14ac:dyDescent="0.3">
      <c r="A190" s="16">
        <v>20</v>
      </c>
      <c r="B190" s="29" t="s">
        <v>552</v>
      </c>
      <c r="C190" s="29">
        <v>75437614</v>
      </c>
      <c r="D190" s="29" t="s">
        <v>475</v>
      </c>
      <c r="E190" s="43" t="s">
        <v>470</v>
      </c>
      <c r="F190" s="29" t="s">
        <v>129</v>
      </c>
      <c r="G190" s="122">
        <v>18</v>
      </c>
      <c r="H190" s="122">
        <v>0</v>
      </c>
      <c r="I190" s="123">
        <v>0</v>
      </c>
      <c r="J190" s="122">
        <v>0</v>
      </c>
      <c r="K190" s="122">
        <v>0</v>
      </c>
      <c r="L190" s="122">
        <v>0</v>
      </c>
      <c r="M190" s="123">
        <v>22</v>
      </c>
      <c r="N190" s="123">
        <v>28.57</v>
      </c>
      <c r="O190" s="124">
        <f t="shared" si="2"/>
        <v>396</v>
      </c>
      <c r="P190" s="51" t="s">
        <v>1371</v>
      </c>
    </row>
    <row r="191" spans="1:16" x14ac:dyDescent="0.3">
      <c r="A191" s="16">
        <v>4433</v>
      </c>
      <c r="B191" s="29" t="s">
        <v>520</v>
      </c>
      <c r="C191" s="29">
        <v>75437616</v>
      </c>
      <c r="D191" s="29" t="s">
        <v>473</v>
      </c>
      <c r="E191" s="43" t="s">
        <v>470</v>
      </c>
      <c r="F191" s="29" t="s">
        <v>129</v>
      </c>
      <c r="G191" s="122">
        <v>18</v>
      </c>
      <c r="H191" s="122">
        <v>0</v>
      </c>
      <c r="I191" s="123">
        <v>0</v>
      </c>
      <c r="J191" s="122">
        <v>0</v>
      </c>
      <c r="K191" s="122">
        <v>0</v>
      </c>
      <c r="L191" s="122">
        <v>0</v>
      </c>
      <c r="M191" s="123">
        <v>22</v>
      </c>
      <c r="N191" s="123">
        <v>28.57</v>
      </c>
      <c r="O191" s="124">
        <f t="shared" si="2"/>
        <v>396</v>
      </c>
      <c r="P191" s="51" t="s">
        <v>1371</v>
      </c>
    </row>
    <row r="192" spans="1:16" x14ac:dyDescent="0.3">
      <c r="A192" s="16">
        <v>4490</v>
      </c>
      <c r="B192" s="29" t="s">
        <v>537</v>
      </c>
      <c r="C192" s="29">
        <v>75437616</v>
      </c>
      <c r="D192" s="29" t="s">
        <v>473</v>
      </c>
      <c r="E192" s="43" t="s">
        <v>470</v>
      </c>
      <c r="F192" s="29" t="s">
        <v>129</v>
      </c>
      <c r="G192" s="122">
        <v>18</v>
      </c>
      <c r="H192" s="122">
        <v>0</v>
      </c>
      <c r="I192" s="123">
        <v>0</v>
      </c>
      <c r="J192" s="122">
        <v>0</v>
      </c>
      <c r="K192" s="122">
        <v>0</v>
      </c>
      <c r="L192" s="122">
        <v>0</v>
      </c>
      <c r="M192" s="123">
        <v>22</v>
      </c>
      <c r="N192" s="123">
        <v>28.57</v>
      </c>
      <c r="O192" s="124">
        <f t="shared" si="2"/>
        <v>396</v>
      </c>
      <c r="P192" s="51" t="s">
        <v>1371</v>
      </c>
    </row>
    <row r="193" spans="1:16" x14ac:dyDescent="0.3">
      <c r="A193" s="16">
        <v>4433</v>
      </c>
      <c r="B193" s="29" t="s">
        <v>520</v>
      </c>
      <c r="C193" s="29">
        <v>75437623</v>
      </c>
      <c r="D193" s="29" t="s">
        <v>474</v>
      </c>
      <c r="E193" s="43" t="s">
        <v>470</v>
      </c>
      <c r="F193" s="29" t="s">
        <v>129</v>
      </c>
      <c r="G193" s="122">
        <v>18</v>
      </c>
      <c r="H193" s="122">
        <v>0</v>
      </c>
      <c r="I193" s="123">
        <v>0</v>
      </c>
      <c r="J193" s="122">
        <v>0</v>
      </c>
      <c r="K193" s="122">
        <v>0</v>
      </c>
      <c r="L193" s="122">
        <v>0</v>
      </c>
      <c r="M193" s="123">
        <v>32.85</v>
      </c>
      <c r="N193" s="123">
        <v>42.63</v>
      </c>
      <c r="O193" s="124">
        <f t="shared" si="2"/>
        <v>591.30000000000007</v>
      </c>
      <c r="P193" s="51" t="s">
        <v>1371</v>
      </c>
    </row>
    <row r="194" spans="1:16" x14ac:dyDescent="0.3">
      <c r="A194" s="16">
        <v>419</v>
      </c>
      <c r="B194" s="29" t="s">
        <v>534</v>
      </c>
      <c r="C194" s="29">
        <v>75437621</v>
      </c>
      <c r="D194" s="29" t="s">
        <v>471</v>
      </c>
      <c r="E194" s="43" t="s">
        <v>470</v>
      </c>
      <c r="F194" s="29" t="s">
        <v>129</v>
      </c>
      <c r="G194" s="122">
        <v>17</v>
      </c>
      <c r="H194" s="122">
        <v>0</v>
      </c>
      <c r="I194" s="123">
        <v>0</v>
      </c>
      <c r="J194" s="122">
        <v>0</v>
      </c>
      <c r="K194" s="122">
        <v>0</v>
      </c>
      <c r="L194" s="122">
        <v>0</v>
      </c>
      <c r="M194" s="123">
        <v>18.25</v>
      </c>
      <c r="N194" s="123">
        <v>23.66</v>
      </c>
      <c r="O194" s="124">
        <f t="shared" si="2"/>
        <v>310.25</v>
      </c>
      <c r="P194" s="51" t="s">
        <v>1371</v>
      </c>
    </row>
    <row r="195" spans="1:16" x14ac:dyDescent="0.3">
      <c r="A195" s="16">
        <v>4491</v>
      </c>
      <c r="B195" s="29" t="s">
        <v>559</v>
      </c>
      <c r="C195" s="29">
        <v>75437623</v>
      </c>
      <c r="D195" s="29" t="s">
        <v>474</v>
      </c>
      <c r="E195" s="43" t="s">
        <v>470</v>
      </c>
      <c r="F195" s="29" t="s">
        <v>129</v>
      </c>
      <c r="G195" s="122">
        <v>17</v>
      </c>
      <c r="H195" s="122">
        <v>0</v>
      </c>
      <c r="I195" s="123">
        <v>0</v>
      </c>
      <c r="J195" s="122">
        <v>0</v>
      </c>
      <c r="K195" s="122">
        <v>0</v>
      </c>
      <c r="L195" s="122">
        <v>0</v>
      </c>
      <c r="M195" s="123">
        <v>32.85</v>
      </c>
      <c r="N195" s="123">
        <v>42.63</v>
      </c>
      <c r="O195" s="124">
        <f t="shared" si="2"/>
        <v>558.45000000000005</v>
      </c>
      <c r="P195" s="51" t="s">
        <v>1371</v>
      </c>
    </row>
    <row r="196" spans="1:16" x14ac:dyDescent="0.3">
      <c r="A196" s="16">
        <v>4433</v>
      </c>
      <c r="B196" s="29" t="s">
        <v>520</v>
      </c>
      <c r="C196" s="29">
        <v>75437610</v>
      </c>
      <c r="D196" s="29" t="s">
        <v>472</v>
      </c>
      <c r="E196" s="43" t="s">
        <v>470</v>
      </c>
      <c r="F196" s="29" t="s">
        <v>129</v>
      </c>
      <c r="G196" s="122">
        <v>16</v>
      </c>
      <c r="H196" s="122">
        <v>0</v>
      </c>
      <c r="I196" s="123">
        <v>0</v>
      </c>
      <c r="J196" s="122">
        <v>0</v>
      </c>
      <c r="K196" s="122">
        <v>0</v>
      </c>
      <c r="L196" s="122">
        <v>0</v>
      </c>
      <c r="M196" s="123">
        <v>51</v>
      </c>
      <c r="N196" s="123">
        <v>66.069999999999993</v>
      </c>
      <c r="O196" s="124">
        <f t="shared" ref="O196:O259" si="3">G196*M196</f>
        <v>816</v>
      </c>
      <c r="P196" s="51" t="s">
        <v>1371</v>
      </c>
    </row>
    <row r="197" spans="1:16" x14ac:dyDescent="0.3">
      <c r="A197" s="16">
        <v>169</v>
      </c>
      <c r="B197" s="29" t="s">
        <v>531</v>
      </c>
      <c r="C197" s="29">
        <v>75437614</v>
      </c>
      <c r="D197" s="29" t="s">
        <v>475</v>
      </c>
      <c r="E197" s="43" t="s">
        <v>470</v>
      </c>
      <c r="F197" s="29" t="s">
        <v>129</v>
      </c>
      <c r="G197" s="122">
        <v>16</v>
      </c>
      <c r="H197" s="122">
        <v>0</v>
      </c>
      <c r="I197" s="123">
        <v>0</v>
      </c>
      <c r="J197" s="122">
        <v>0</v>
      </c>
      <c r="K197" s="122">
        <v>0</v>
      </c>
      <c r="L197" s="122">
        <v>0</v>
      </c>
      <c r="M197" s="123">
        <v>22</v>
      </c>
      <c r="N197" s="123">
        <v>28.57</v>
      </c>
      <c r="O197" s="124">
        <f t="shared" si="3"/>
        <v>352</v>
      </c>
      <c r="P197" s="51" t="s">
        <v>1371</v>
      </c>
    </row>
    <row r="198" spans="1:16" x14ac:dyDescent="0.3">
      <c r="A198" s="16">
        <v>20</v>
      </c>
      <c r="B198" s="29" t="s">
        <v>552</v>
      </c>
      <c r="C198" s="29">
        <v>75437616</v>
      </c>
      <c r="D198" s="29" t="s">
        <v>473</v>
      </c>
      <c r="E198" s="43" t="s">
        <v>470</v>
      </c>
      <c r="F198" s="29" t="s">
        <v>129</v>
      </c>
      <c r="G198" s="122">
        <v>16</v>
      </c>
      <c r="H198" s="122">
        <v>0</v>
      </c>
      <c r="I198" s="123">
        <v>0</v>
      </c>
      <c r="J198" s="122">
        <v>0</v>
      </c>
      <c r="K198" s="122">
        <v>0</v>
      </c>
      <c r="L198" s="122">
        <v>0</v>
      </c>
      <c r="M198" s="123">
        <v>22</v>
      </c>
      <c r="N198" s="123">
        <v>28.57</v>
      </c>
      <c r="O198" s="124">
        <f t="shared" si="3"/>
        <v>352</v>
      </c>
      <c r="P198" s="51" t="s">
        <v>1371</v>
      </c>
    </row>
    <row r="199" spans="1:16" x14ac:dyDescent="0.3">
      <c r="A199" s="16">
        <v>4317</v>
      </c>
      <c r="B199" s="29" t="s">
        <v>540</v>
      </c>
      <c r="C199" s="29">
        <v>75437616</v>
      </c>
      <c r="D199" s="29" t="s">
        <v>473</v>
      </c>
      <c r="E199" s="43" t="s">
        <v>470</v>
      </c>
      <c r="F199" s="29" t="s">
        <v>129</v>
      </c>
      <c r="G199" s="122">
        <v>16</v>
      </c>
      <c r="H199" s="122">
        <v>0</v>
      </c>
      <c r="I199" s="123">
        <v>0</v>
      </c>
      <c r="J199" s="122">
        <v>0</v>
      </c>
      <c r="K199" s="122">
        <v>0</v>
      </c>
      <c r="L199" s="122">
        <v>0</v>
      </c>
      <c r="M199" s="123">
        <v>22</v>
      </c>
      <c r="N199" s="123">
        <v>28.57</v>
      </c>
      <c r="O199" s="124">
        <f t="shared" si="3"/>
        <v>352</v>
      </c>
      <c r="P199" s="51" t="s">
        <v>1371</v>
      </c>
    </row>
    <row r="200" spans="1:16" x14ac:dyDescent="0.3">
      <c r="A200" s="16">
        <v>1054</v>
      </c>
      <c r="B200" s="29" t="s">
        <v>524</v>
      </c>
      <c r="C200" s="29">
        <v>75437623</v>
      </c>
      <c r="D200" s="29" t="s">
        <v>474</v>
      </c>
      <c r="E200" s="43" t="s">
        <v>470</v>
      </c>
      <c r="F200" s="29" t="s">
        <v>129</v>
      </c>
      <c r="G200" s="122">
        <v>16</v>
      </c>
      <c r="H200" s="122">
        <v>0</v>
      </c>
      <c r="I200" s="123">
        <v>0</v>
      </c>
      <c r="J200" s="122">
        <v>0</v>
      </c>
      <c r="K200" s="122">
        <v>0</v>
      </c>
      <c r="L200" s="122">
        <v>0</v>
      </c>
      <c r="M200" s="123">
        <v>32.85</v>
      </c>
      <c r="N200" s="123">
        <v>42.63</v>
      </c>
      <c r="O200" s="124">
        <f t="shared" si="3"/>
        <v>525.6</v>
      </c>
      <c r="P200" s="51" t="s">
        <v>1371</v>
      </c>
    </row>
    <row r="201" spans="1:16" x14ac:dyDescent="0.3">
      <c r="A201" s="16">
        <v>457</v>
      </c>
      <c r="B201" s="29" t="s">
        <v>511</v>
      </c>
      <c r="C201" s="29">
        <v>75214930</v>
      </c>
      <c r="D201" s="29" t="s">
        <v>469</v>
      </c>
      <c r="E201" s="43" t="s">
        <v>470</v>
      </c>
      <c r="F201" s="29" t="s">
        <v>129</v>
      </c>
      <c r="G201" s="122">
        <v>15</v>
      </c>
      <c r="H201" s="122">
        <v>0</v>
      </c>
      <c r="I201" s="123">
        <v>0</v>
      </c>
      <c r="J201" s="122">
        <v>0</v>
      </c>
      <c r="K201" s="122">
        <v>0</v>
      </c>
      <c r="L201" s="122">
        <v>0</v>
      </c>
      <c r="M201" s="123">
        <v>45.54</v>
      </c>
      <c r="N201" s="123">
        <v>61.61</v>
      </c>
      <c r="O201" s="124">
        <f t="shared" si="3"/>
        <v>683.1</v>
      </c>
      <c r="P201" s="51" t="s">
        <v>1371</v>
      </c>
    </row>
    <row r="202" spans="1:16" x14ac:dyDescent="0.3">
      <c r="A202" s="16">
        <v>47</v>
      </c>
      <c r="B202" s="29" t="s">
        <v>516</v>
      </c>
      <c r="C202" s="29">
        <v>75437610</v>
      </c>
      <c r="D202" s="29" t="s">
        <v>472</v>
      </c>
      <c r="E202" s="43" t="s">
        <v>470</v>
      </c>
      <c r="F202" s="29" t="s">
        <v>129</v>
      </c>
      <c r="G202" s="122">
        <v>15</v>
      </c>
      <c r="H202" s="122">
        <v>0</v>
      </c>
      <c r="I202" s="123">
        <v>0</v>
      </c>
      <c r="J202" s="122">
        <v>0</v>
      </c>
      <c r="K202" s="122">
        <v>0</v>
      </c>
      <c r="L202" s="122">
        <v>0</v>
      </c>
      <c r="M202" s="123">
        <v>51</v>
      </c>
      <c r="N202" s="123">
        <v>66.069999999999993</v>
      </c>
      <c r="O202" s="124">
        <f t="shared" si="3"/>
        <v>765</v>
      </c>
      <c r="P202" s="51" t="s">
        <v>1371</v>
      </c>
    </row>
    <row r="203" spans="1:16" x14ac:dyDescent="0.3">
      <c r="A203" s="16">
        <v>4317</v>
      </c>
      <c r="B203" s="29" t="s">
        <v>540</v>
      </c>
      <c r="C203" s="29">
        <v>75437610</v>
      </c>
      <c r="D203" s="29" t="s">
        <v>472</v>
      </c>
      <c r="E203" s="43" t="s">
        <v>470</v>
      </c>
      <c r="F203" s="29" t="s">
        <v>129</v>
      </c>
      <c r="G203" s="122">
        <v>15</v>
      </c>
      <c r="H203" s="122">
        <v>0</v>
      </c>
      <c r="I203" s="123">
        <v>0</v>
      </c>
      <c r="J203" s="122">
        <v>0</v>
      </c>
      <c r="K203" s="122">
        <v>0</v>
      </c>
      <c r="L203" s="122">
        <v>0</v>
      </c>
      <c r="M203" s="123">
        <v>51</v>
      </c>
      <c r="N203" s="123">
        <v>66.069999999999993</v>
      </c>
      <c r="O203" s="124">
        <f t="shared" si="3"/>
        <v>765</v>
      </c>
      <c r="P203" s="51" t="s">
        <v>1371</v>
      </c>
    </row>
    <row r="204" spans="1:16" x14ac:dyDescent="0.3">
      <c r="A204" s="16">
        <v>47</v>
      </c>
      <c r="B204" s="29" t="s">
        <v>516</v>
      </c>
      <c r="C204" s="29">
        <v>75437616</v>
      </c>
      <c r="D204" s="29" t="s">
        <v>473</v>
      </c>
      <c r="E204" s="43" t="s">
        <v>470</v>
      </c>
      <c r="F204" s="29" t="s">
        <v>129</v>
      </c>
      <c r="G204" s="122">
        <v>15</v>
      </c>
      <c r="H204" s="122">
        <v>0</v>
      </c>
      <c r="I204" s="123">
        <v>0</v>
      </c>
      <c r="J204" s="122">
        <v>0</v>
      </c>
      <c r="K204" s="122">
        <v>0</v>
      </c>
      <c r="L204" s="122">
        <v>0</v>
      </c>
      <c r="M204" s="123">
        <v>22</v>
      </c>
      <c r="N204" s="123">
        <v>28.57</v>
      </c>
      <c r="O204" s="124">
        <f t="shared" si="3"/>
        <v>330</v>
      </c>
      <c r="P204" s="51" t="s">
        <v>1371</v>
      </c>
    </row>
    <row r="205" spans="1:16" x14ac:dyDescent="0.3">
      <c r="A205" s="16">
        <v>33</v>
      </c>
      <c r="B205" s="29" t="s">
        <v>526</v>
      </c>
      <c r="C205" s="29">
        <v>75437623</v>
      </c>
      <c r="D205" s="29" t="s">
        <v>474</v>
      </c>
      <c r="E205" s="43" t="s">
        <v>470</v>
      </c>
      <c r="F205" s="29" t="s">
        <v>129</v>
      </c>
      <c r="G205" s="122">
        <v>15</v>
      </c>
      <c r="H205" s="122">
        <v>0</v>
      </c>
      <c r="I205" s="123">
        <v>0</v>
      </c>
      <c r="J205" s="122">
        <v>0</v>
      </c>
      <c r="K205" s="122">
        <v>0</v>
      </c>
      <c r="L205" s="122">
        <v>0</v>
      </c>
      <c r="M205" s="123">
        <v>32.85</v>
      </c>
      <c r="N205" s="123">
        <v>42.63</v>
      </c>
      <c r="O205" s="124">
        <f t="shared" si="3"/>
        <v>492.75</v>
      </c>
      <c r="P205" s="51" t="s">
        <v>1371</v>
      </c>
    </row>
    <row r="206" spans="1:16" x14ac:dyDescent="0.3">
      <c r="A206" s="16">
        <v>948</v>
      </c>
      <c r="B206" s="29" t="s">
        <v>553</v>
      </c>
      <c r="C206" s="29">
        <v>75437623</v>
      </c>
      <c r="D206" s="29" t="s">
        <v>474</v>
      </c>
      <c r="E206" s="43" t="s">
        <v>470</v>
      </c>
      <c r="F206" s="29" t="s">
        <v>129</v>
      </c>
      <c r="G206" s="122">
        <v>15</v>
      </c>
      <c r="H206" s="122">
        <v>0</v>
      </c>
      <c r="I206" s="123">
        <v>0</v>
      </c>
      <c r="J206" s="122">
        <v>0</v>
      </c>
      <c r="K206" s="122">
        <v>0</v>
      </c>
      <c r="L206" s="122">
        <v>0</v>
      </c>
      <c r="M206" s="123">
        <v>32.85</v>
      </c>
      <c r="N206" s="123">
        <v>42.63</v>
      </c>
      <c r="O206" s="124">
        <f t="shared" si="3"/>
        <v>492.75</v>
      </c>
      <c r="P206" s="51" t="s">
        <v>1371</v>
      </c>
    </row>
    <row r="207" spans="1:16" x14ac:dyDescent="0.3">
      <c r="A207" s="16">
        <v>33</v>
      </c>
      <c r="B207" s="29" t="s">
        <v>526</v>
      </c>
      <c r="C207" s="29">
        <v>75437610</v>
      </c>
      <c r="D207" s="29" t="s">
        <v>472</v>
      </c>
      <c r="E207" s="43" t="s">
        <v>470</v>
      </c>
      <c r="F207" s="29" t="s">
        <v>129</v>
      </c>
      <c r="G207" s="122">
        <v>14</v>
      </c>
      <c r="H207" s="122">
        <v>0</v>
      </c>
      <c r="I207" s="123">
        <v>0</v>
      </c>
      <c r="J207" s="122">
        <v>0</v>
      </c>
      <c r="K207" s="122">
        <v>0</v>
      </c>
      <c r="L207" s="122">
        <v>0</v>
      </c>
      <c r="M207" s="123">
        <v>51</v>
      </c>
      <c r="N207" s="123">
        <v>66.069999999999993</v>
      </c>
      <c r="O207" s="124">
        <f t="shared" si="3"/>
        <v>714</v>
      </c>
      <c r="P207" s="51" t="s">
        <v>1371</v>
      </c>
    </row>
    <row r="208" spans="1:16" x14ac:dyDescent="0.3">
      <c r="A208" s="16">
        <v>180</v>
      </c>
      <c r="B208" s="29" t="s">
        <v>528</v>
      </c>
      <c r="C208" s="29">
        <v>75437616</v>
      </c>
      <c r="D208" s="29" t="s">
        <v>473</v>
      </c>
      <c r="E208" s="43" t="s">
        <v>470</v>
      </c>
      <c r="F208" s="29" t="s">
        <v>129</v>
      </c>
      <c r="G208" s="122">
        <v>14</v>
      </c>
      <c r="H208" s="122">
        <v>0</v>
      </c>
      <c r="I208" s="123">
        <v>0</v>
      </c>
      <c r="J208" s="122">
        <v>0</v>
      </c>
      <c r="K208" s="122">
        <v>0</v>
      </c>
      <c r="L208" s="122">
        <v>0</v>
      </c>
      <c r="M208" s="123">
        <v>22</v>
      </c>
      <c r="N208" s="123">
        <v>28.57</v>
      </c>
      <c r="O208" s="124">
        <f t="shared" si="3"/>
        <v>308</v>
      </c>
      <c r="P208" s="51" t="s">
        <v>1371</v>
      </c>
    </row>
    <row r="209" spans="1:16" x14ac:dyDescent="0.3">
      <c r="A209" s="16">
        <v>4037</v>
      </c>
      <c r="B209" s="29" t="s">
        <v>517</v>
      </c>
      <c r="C209" s="29">
        <v>75214930</v>
      </c>
      <c r="D209" s="29" t="s">
        <v>469</v>
      </c>
      <c r="E209" s="43" t="s">
        <v>470</v>
      </c>
      <c r="F209" s="29" t="s">
        <v>129</v>
      </c>
      <c r="G209" s="122">
        <v>13</v>
      </c>
      <c r="H209" s="122">
        <v>0</v>
      </c>
      <c r="I209" s="123">
        <v>0</v>
      </c>
      <c r="J209" s="122">
        <v>0</v>
      </c>
      <c r="K209" s="122">
        <v>0</v>
      </c>
      <c r="L209" s="122">
        <v>0</v>
      </c>
      <c r="M209" s="123">
        <v>45.54</v>
      </c>
      <c r="N209" s="123">
        <v>61.61</v>
      </c>
      <c r="O209" s="124">
        <f t="shared" si="3"/>
        <v>592.02</v>
      </c>
      <c r="P209" s="51" t="s">
        <v>1371</v>
      </c>
    </row>
    <row r="210" spans="1:16" x14ac:dyDescent="0.3">
      <c r="A210" s="16">
        <v>4317</v>
      </c>
      <c r="B210" s="29" t="s">
        <v>540</v>
      </c>
      <c r="C210" s="29">
        <v>75214930</v>
      </c>
      <c r="D210" s="29" t="s">
        <v>469</v>
      </c>
      <c r="E210" s="43" t="s">
        <v>470</v>
      </c>
      <c r="F210" s="29" t="s">
        <v>129</v>
      </c>
      <c r="G210" s="122">
        <v>13</v>
      </c>
      <c r="H210" s="122">
        <v>0</v>
      </c>
      <c r="I210" s="123">
        <v>0</v>
      </c>
      <c r="J210" s="122">
        <v>0</v>
      </c>
      <c r="K210" s="122">
        <v>0</v>
      </c>
      <c r="L210" s="122">
        <v>0</v>
      </c>
      <c r="M210" s="123">
        <v>45.54</v>
      </c>
      <c r="N210" s="123">
        <v>61.61</v>
      </c>
      <c r="O210" s="124">
        <f t="shared" si="3"/>
        <v>592.02</v>
      </c>
      <c r="P210" s="51" t="s">
        <v>1371</v>
      </c>
    </row>
    <row r="211" spans="1:16" x14ac:dyDescent="0.3">
      <c r="A211" s="16">
        <v>4412</v>
      </c>
      <c r="B211" s="29" t="s">
        <v>538</v>
      </c>
      <c r="C211" s="29">
        <v>75437610</v>
      </c>
      <c r="D211" s="29" t="s">
        <v>472</v>
      </c>
      <c r="E211" s="43" t="s">
        <v>470</v>
      </c>
      <c r="F211" s="29" t="s">
        <v>129</v>
      </c>
      <c r="G211" s="122">
        <v>13</v>
      </c>
      <c r="H211" s="122">
        <v>0</v>
      </c>
      <c r="I211" s="123">
        <v>0</v>
      </c>
      <c r="J211" s="122">
        <v>0</v>
      </c>
      <c r="K211" s="122">
        <v>0</v>
      </c>
      <c r="L211" s="122">
        <v>0</v>
      </c>
      <c r="M211" s="123">
        <v>51</v>
      </c>
      <c r="N211" s="123">
        <v>66.069999999999993</v>
      </c>
      <c r="O211" s="124">
        <f t="shared" si="3"/>
        <v>663</v>
      </c>
      <c r="P211" s="51" t="s">
        <v>1371</v>
      </c>
    </row>
    <row r="212" spans="1:16" x14ac:dyDescent="0.3">
      <c r="A212" s="16">
        <v>4491</v>
      </c>
      <c r="B212" s="29" t="s">
        <v>559</v>
      </c>
      <c r="C212" s="29">
        <v>75437610</v>
      </c>
      <c r="D212" s="29" t="s">
        <v>472</v>
      </c>
      <c r="E212" s="43" t="s">
        <v>470</v>
      </c>
      <c r="F212" s="29" t="s">
        <v>129</v>
      </c>
      <c r="G212" s="122">
        <v>13</v>
      </c>
      <c r="H212" s="122">
        <v>0</v>
      </c>
      <c r="I212" s="123">
        <v>0</v>
      </c>
      <c r="J212" s="122">
        <v>0</v>
      </c>
      <c r="K212" s="122">
        <v>0</v>
      </c>
      <c r="L212" s="122">
        <v>0</v>
      </c>
      <c r="M212" s="123">
        <v>51</v>
      </c>
      <c r="N212" s="123">
        <v>66.069999999999993</v>
      </c>
      <c r="O212" s="124">
        <f t="shared" si="3"/>
        <v>663</v>
      </c>
      <c r="P212" s="51" t="s">
        <v>1371</v>
      </c>
    </row>
    <row r="213" spans="1:16" x14ac:dyDescent="0.3">
      <c r="A213" s="16">
        <v>21</v>
      </c>
      <c r="B213" s="29" t="s">
        <v>550</v>
      </c>
      <c r="C213" s="29">
        <v>75437614</v>
      </c>
      <c r="D213" s="29" t="s">
        <v>475</v>
      </c>
      <c r="E213" s="43" t="s">
        <v>470</v>
      </c>
      <c r="F213" s="29" t="s">
        <v>129</v>
      </c>
      <c r="G213" s="122">
        <v>13</v>
      </c>
      <c r="H213" s="122">
        <v>0</v>
      </c>
      <c r="I213" s="123">
        <v>0</v>
      </c>
      <c r="J213" s="122">
        <v>0</v>
      </c>
      <c r="K213" s="122">
        <v>0</v>
      </c>
      <c r="L213" s="122">
        <v>0</v>
      </c>
      <c r="M213" s="123">
        <v>22</v>
      </c>
      <c r="N213" s="123">
        <v>28.57</v>
      </c>
      <c r="O213" s="124">
        <f t="shared" si="3"/>
        <v>286</v>
      </c>
      <c r="P213" s="51" t="s">
        <v>1371</v>
      </c>
    </row>
    <row r="214" spans="1:16" x14ac:dyDescent="0.3">
      <c r="A214" s="16">
        <v>344</v>
      </c>
      <c r="B214" s="29" t="s">
        <v>535</v>
      </c>
      <c r="C214" s="29">
        <v>75437614</v>
      </c>
      <c r="D214" s="29" t="s">
        <v>475</v>
      </c>
      <c r="E214" s="43" t="s">
        <v>470</v>
      </c>
      <c r="F214" s="29" t="s">
        <v>129</v>
      </c>
      <c r="G214" s="122">
        <v>13</v>
      </c>
      <c r="H214" s="122">
        <v>0</v>
      </c>
      <c r="I214" s="123">
        <v>0</v>
      </c>
      <c r="J214" s="122">
        <v>0</v>
      </c>
      <c r="K214" s="122">
        <v>0</v>
      </c>
      <c r="L214" s="122">
        <v>0</v>
      </c>
      <c r="M214" s="123">
        <v>22</v>
      </c>
      <c r="N214" s="123">
        <v>28.57</v>
      </c>
      <c r="O214" s="124">
        <f t="shared" si="3"/>
        <v>286</v>
      </c>
      <c r="P214" s="51" t="s">
        <v>1371</v>
      </c>
    </row>
    <row r="215" spans="1:16" x14ac:dyDescent="0.3">
      <c r="A215" s="16">
        <v>4126</v>
      </c>
      <c r="B215" s="29" t="s">
        <v>547</v>
      </c>
      <c r="C215" s="29">
        <v>75437623</v>
      </c>
      <c r="D215" s="29" t="s">
        <v>474</v>
      </c>
      <c r="E215" s="43" t="s">
        <v>470</v>
      </c>
      <c r="F215" s="29" t="s">
        <v>129</v>
      </c>
      <c r="G215" s="122">
        <v>13</v>
      </c>
      <c r="H215" s="122">
        <v>0</v>
      </c>
      <c r="I215" s="123">
        <v>0</v>
      </c>
      <c r="J215" s="122">
        <v>0</v>
      </c>
      <c r="K215" s="122">
        <v>0</v>
      </c>
      <c r="L215" s="122">
        <v>0</v>
      </c>
      <c r="M215" s="123">
        <v>32.85</v>
      </c>
      <c r="N215" s="123">
        <v>42.63</v>
      </c>
      <c r="O215" s="124">
        <f t="shared" si="3"/>
        <v>427.05</v>
      </c>
      <c r="P215" s="51" t="s">
        <v>1371</v>
      </c>
    </row>
    <row r="216" spans="1:16" x14ac:dyDescent="0.3">
      <c r="A216" s="16">
        <v>24</v>
      </c>
      <c r="B216" s="29" t="s">
        <v>543</v>
      </c>
      <c r="C216" s="29">
        <v>75214930</v>
      </c>
      <c r="D216" s="29" t="s">
        <v>469</v>
      </c>
      <c r="E216" s="43" t="s">
        <v>470</v>
      </c>
      <c r="F216" s="29" t="s">
        <v>129</v>
      </c>
      <c r="G216" s="122">
        <v>12</v>
      </c>
      <c r="H216" s="122">
        <v>0</v>
      </c>
      <c r="I216" s="123">
        <v>0</v>
      </c>
      <c r="J216" s="122">
        <v>0</v>
      </c>
      <c r="K216" s="122">
        <v>0</v>
      </c>
      <c r="L216" s="122">
        <v>0</v>
      </c>
      <c r="M216" s="123">
        <v>45.54</v>
      </c>
      <c r="N216" s="123">
        <v>61.61</v>
      </c>
      <c r="O216" s="124">
        <f t="shared" si="3"/>
        <v>546.48</v>
      </c>
      <c r="P216" s="51" t="s">
        <v>1371</v>
      </c>
    </row>
    <row r="217" spans="1:16" x14ac:dyDescent="0.3">
      <c r="A217" s="16">
        <v>34</v>
      </c>
      <c r="B217" s="29" t="s">
        <v>529</v>
      </c>
      <c r="C217" s="29">
        <v>75214930</v>
      </c>
      <c r="D217" s="29" t="s">
        <v>469</v>
      </c>
      <c r="E217" s="43" t="s">
        <v>470</v>
      </c>
      <c r="F217" s="29" t="s">
        <v>129</v>
      </c>
      <c r="G217" s="122">
        <v>12</v>
      </c>
      <c r="H217" s="122">
        <v>0</v>
      </c>
      <c r="I217" s="123">
        <v>0</v>
      </c>
      <c r="J217" s="122">
        <v>0</v>
      </c>
      <c r="K217" s="122">
        <v>0</v>
      </c>
      <c r="L217" s="122">
        <v>0</v>
      </c>
      <c r="M217" s="123">
        <v>45.54</v>
      </c>
      <c r="N217" s="123">
        <v>61.61</v>
      </c>
      <c r="O217" s="124">
        <f t="shared" si="3"/>
        <v>546.48</v>
      </c>
      <c r="P217" s="51" t="s">
        <v>1371</v>
      </c>
    </row>
    <row r="218" spans="1:16" x14ac:dyDescent="0.3">
      <c r="A218" s="16">
        <v>169</v>
      </c>
      <c r="B218" s="29" t="s">
        <v>531</v>
      </c>
      <c r="C218" s="29">
        <v>75214930</v>
      </c>
      <c r="D218" s="29" t="s">
        <v>469</v>
      </c>
      <c r="E218" s="43" t="s">
        <v>470</v>
      </c>
      <c r="F218" s="29" t="s">
        <v>129</v>
      </c>
      <c r="G218" s="122">
        <v>12</v>
      </c>
      <c r="H218" s="122">
        <v>0</v>
      </c>
      <c r="I218" s="123">
        <v>0</v>
      </c>
      <c r="J218" s="122">
        <v>0</v>
      </c>
      <c r="K218" s="122">
        <v>0</v>
      </c>
      <c r="L218" s="122">
        <v>0</v>
      </c>
      <c r="M218" s="123">
        <v>45.54</v>
      </c>
      <c r="N218" s="123">
        <v>61.61</v>
      </c>
      <c r="O218" s="124">
        <f t="shared" si="3"/>
        <v>546.48</v>
      </c>
      <c r="P218" s="51" t="s">
        <v>1371</v>
      </c>
    </row>
    <row r="219" spans="1:16" x14ac:dyDescent="0.3">
      <c r="A219" s="16">
        <v>180</v>
      </c>
      <c r="B219" s="29" t="s">
        <v>528</v>
      </c>
      <c r="C219" s="29">
        <v>75214930</v>
      </c>
      <c r="D219" s="29" t="s">
        <v>469</v>
      </c>
      <c r="E219" s="43" t="s">
        <v>470</v>
      </c>
      <c r="F219" s="29" t="s">
        <v>129</v>
      </c>
      <c r="G219" s="122">
        <v>12</v>
      </c>
      <c r="H219" s="122">
        <v>0</v>
      </c>
      <c r="I219" s="123">
        <v>0</v>
      </c>
      <c r="J219" s="122">
        <v>0</v>
      </c>
      <c r="K219" s="122">
        <v>0</v>
      </c>
      <c r="L219" s="122">
        <v>0</v>
      </c>
      <c r="M219" s="123">
        <v>45.54</v>
      </c>
      <c r="N219" s="123">
        <v>61.61</v>
      </c>
      <c r="O219" s="124">
        <f t="shared" si="3"/>
        <v>546.48</v>
      </c>
      <c r="P219" s="51" t="s">
        <v>1371</v>
      </c>
    </row>
    <row r="220" spans="1:16" x14ac:dyDescent="0.3">
      <c r="A220" s="16">
        <v>459</v>
      </c>
      <c r="B220" s="29" t="s">
        <v>527</v>
      </c>
      <c r="C220" s="29">
        <v>75214930</v>
      </c>
      <c r="D220" s="29" t="s">
        <v>469</v>
      </c>
      <c r="E220" s="43" t="s">
        <v>470</v>
      </c>
      <c r="F220" s="29" t="s">
        <v>129</v>
      </c>
      <c r="G220" s="122">
        <v>12</v>
      </c>
      <c r="H220" s="122">
        <v>0</v>
      </c>
      <c r="I220" s="123">
        <v>0</v>
      </c>
      <c r="J220" s="122">
        <v>12</v>
      </c>
      <c r="K220" s="122">
        <v>0</v>
      </c>
      <c r="L220" s="122">
        <v>0</v>
      </c>
      <c r="M220" s="123">
        <v>45.54</v>
      </c>
      <c r="N220" s="123">
        <v>61.61</v>
      </c>
      <c r="O220" s="124">
        <f t="shared" si="3"/>
        <v>546.48</v>
      </c>
      <c r="P220" s="51" t="s">
        <v>1371</v>
      </c>
    </row>
    <row r="221" spans="1:16" x14ac:dyDescent="0.3">
      <c r="A221" s="16">
        <v>4414</v>
      </c>
      <c r="B221" s="29" t="s">
        <v>525</v>
      </c>
      <c r="C221" s="29">
        <v>75437614</v>
      </c>
      <c r="D221" s="29" t="s">
        <v>475</v>
      </c>
      <c r="E221" s="43" t="s">
        <v>470</v>
      </c>
      <c r="F221" s="29" t="s">
        <v>129</v>
      </c>
      <c r="G221" s="122">
        <v>12</v>
      </c>
      <c r="H221" s="122">
        <v>0</v>
      </c>
      <c r="I221" s="123">
        <v>0</v>
      </c>
      <c r="J221" s="122">
        <v>0</v>
      </c>
      <c r="K221" s="122">
        <v>0</v>
      </c>
      <c r="L221" s="122">
        <v>0</v>
      </c>
      <c r="M221" s="123">
        <v>22</v>
      </c>
      <c r="N221" s="123">
        <v>28.57</v>
      </c>
      <c r="O221" s="124">
        <f t="shared" si="3"/>
        <v>264</v>
      </c>
      <c r="P221" s="51" t="s">
        <v>1371</v>
      </c>
    </row>
    <row r="222" spans="1:16" x14ac:dyDescent="0.3">
      <c r="A222" s="16">
        <v>33</v>
      </c>
      <c r="B222" s="29" t="s">
        <v>526</v>
      </c>
      <c r="C222" s="29">
        <v>75437616</v>
      </c>
      <c r="D222" s="29" t="s">
        <v>473</v>
      </c>
      <c r="E222" s="43" t="s">
        <v>470</v>
      </c>
      <c r="F222" s="29" t="s">
        <v>129</v>
      </c>
      <c r="G222" s="122">
        <v>12</v>
      </c>
      <c r="H222" s="122">
        <v>0</v>
      </c>
      <c r="I222" s="123">
        <v>0</v>
      </c>
      <c r="J222" s="122">
        <v>0</v>
      </c>
      <c r="K222" s="122">
        <v>0</v>
      </c>
      <c r="L222" s="122">
        <v>0</v>
      </c>
      <c r="M222" s="123">
        <v>22</v>
      </c>
      <c r="N222" s="123">
        <v>28.57</v>
      </c>
      <c r="O222" s="124">
        <f t="shared" si="3"/>
        <v>264</v>
      </c>
      <c r="P222" s="51" t="s">
        <v>1371</v>
      </c>
    </row>
    <row r="223" spans="1:16" x14ac:dyDescent="0.3">
      <c r="A223" s="16">
        <v>4433</v>
      </c>
      <c r="B223" s="29" t="s">
        <v>520</v>
      </c>
      <c r="C223" s="29">
        <v>75437621</v>
      </c>
      <c r="D223" s="29" t="s">
        <v>471</v>
      </c>
      <c r="E223" s="43" t="s">
        <v>470</v>
      </c>
      <c r="F223" s="29" t="s">
        <v>129</v>
      </c>
      <c r="G223" s="122">
        <v>12</v>
      </c>
      <c r="H223" s="122">
        <v>0</v>
      </c>
      <c r="I223" s="123">
        <v>0</v>
      </c>
      <c r="J223" s="122">
        <v>0</v>
      </c>
      <c r="K223" s="122">
        <v>0</v>
      </c>
      <c r="L223" s="122">
        <v>0</v>
      </c>
      <c r="M223" s="123">
        <v>18.25</v>
      </c>
      <c r="N223" s="123">
        <v>23.66</v>
      </c>
      <c r="O223" s="124">
        <f t="shared" si="3"/>
        <v>219</v>
      </c>
      <c r="P223" s="51" t="s">
        <v>1371</v>
      </c>
    </row>
    <row r="224" spans="1:16" x14ac:dyDescent="0.3">
      <c r="A224" s="16">
        <v>4173</v>
      </c>
      <c r="B224" s="29" t="s">
        <v>539</v>
      </c>
      <c r="C224" s="29">
        <v>75214930</v>
      </c>
      <c r="D224" s="29" t="s">
        <v>469</v>
      </c>
      <c r="E224" s="43" t="s">
        <v>470</v>
      </c>
      <c r="F224" s="29" t="s">
        <v>129</v>
      </c>
      <c r="G224" s="122">
        <v>11</v>
      </c>
      <c r="H224" s="122">
        <v>0</v>
      </c>
      <c r="I224" s="123">
        <v>0</v>
      </c>
      <c r="J224" s="122">
        <v>0</v>
      </c>
      <c r="K224" s="122">
        <v>0</v>
      </c>
      <c r="L224" s="122">
        <v>0</v>
      </c>
      <c r="M224" s="123">
        <v>45.54</v>
      </c>
      <c r="N224" s="123">
        <v>61.61</v>
      </c>
      <c r="O224" s="124">
        <f t="shared" si="3"/>
        <v>500.94</v>
      </c>
      <c r="P224" s="51" t="s">
        <v>1371</v>
      </c>
    </row>
    <row r="225" spans="1:16" x14ac:dyDescent="0.3">
      <c r="A225" s="16">
        <v>34</v>
      </c>
      <c r="B225" s="29" t="s">
        <v>529</v>
      </c>
      <c r="C225" s="29">
        <v>75437614</v>
      </c>
      <c r="D225" s="29" t="s">
        <v>475</v>
      </c>
      <c r="E225" s="43" t="s">
        <v>470</v>
      </c>
      <c r="F225" s="29" t="s">
        <v>129</v>
      </c>
      <c r="G225" s="122">
        <v>11</v>
      </c>
      <c r="H225" s="122">
        <v>0</v>
      </c>
      <c r="I225" s="123">
        <v>0</v>
      </c>
      <c r="J225" s="122">
        <v>0</v>
      </c>
      <c r="K225" s="122">
        <v>0</v>
      </c>
      <c r="L225" s="122">
        <v>0</v>
      </c>
      <c r="M225" s="123">
        <v>22</v>
      </c>
      <c r="N225" s="123">
        <v>28.57</v>
      </c>
      <c r="O225" s="124">
        <f t="shared" si="3"/>
        <v>242</v>
      </c>
      <c r="P225" s="51" t="s">
        <v>1371</v>
      </c>
    </row>
    <row r="226" spans="1:16" x14ac:dyDescent="0.3">
      <c r="A226" s="16">
        <v>4126</v>
      </c>
      <c r="B226" s="29" t="s">
        <v>547</v>
      </c>
      <c r="C226" s="29">
        <v>75437621</v>
      </c>
      <c r="D226" s="29" t="s">
        <v>471</v>
      </c>
      <c r="E226" s="43" t="s">
        <v>470</v>
      </c>
      <c r="F226" s="29" t="s">
        <v>129</v>
      </c>
      <c r="G226" s="122">
        <v>11</v>
      </c>
      <c r="H226" s="122">
        <v>0</v>
      </c>
      <c r="I226" s="123">
        <v>0</v>
      </c>
      <c r="J226" s="122">
        <v>0</v>
      </c>
      <c r="K226" s="122">
        <v>0</v>
      </c>
      <c r="L226" s="122">
        <v>0</v>
      </c>
      <c r="M226" s="123">
        <v>18.25</v>
      </c>
      <c r="N226" s="123">
        <v>23.66</v>
      </c>
      <c r="O226" s="124">
        <f t="shared" si="3"/>
        <v>200.75</v>
      </c>
      <c r="P226" s="51" t="s">
        <v>1371</v>
      </c>
    </row>
    <row r="227" spans="1:16" x14ac:dyDescent="0.3">
      <c r="A227" s="16">
        <v>457</v>
      </c>
      <c r="B227" s="29" t="s">
        <v>511</v>
      </c>
      <c r="C227" s="29">
        <v>75437610</v>
      </c>
      <c r="D227" s="29" t="s">
        <v>472</v>
      </c>
      <c r="E227" s="43" t="s">
        <v>470</v>
      </c>
      <c r="F227" s="29" t="s">
        <v>129</v>
      </c>
      <c r="G227" s="122">
        <v>10</v>
      </c>
      <c r="H227" s="122">
        <v>0</v>
      </c>
      <c r="I227" s="123">
        <v>0</v>
      </c>
      <c r="J227" s="122">
        <v>0</v>
      </c>
      <c r="K227" s="122">
        <v>0</v>
      </c>
      <c r="L227" s="122">
        <v>0</v>
      </c>
      <c r="M227" s="123">
        <v>51</v>
      </c>
      <c r="N227" s="123">
        <v>66.069999999999993</v>
      </c>
      <c r="O227" s="124">
        <f t="shared" si="3"/>
        <v>510</v>
      </c>
      <c r="P227" s="51" t="s">
        <v>1371</v>
      </c>
    </row>
    <row r="228" spans="1:16" x14ac:dyDescent="0.3">
      <c r="A228" s="16">
        <v>491</v>
      </c>
      <c r="B228" s="29" t="s">
        <v>514</v>
      </c>
      <c r="C228" s="29">
        <v>75437614</v>
      </c>
      <c r="D228" s="29" t="s">
        <v>475</v>
      </c>
      <c r="E228" s="43" t="s">
        <v>470</v>
      </c>
      <c r="F228" s="29" t="s">
        <v>129</v>
      </c>
      <c r="G228" s="122">
        <v>10</v>
      </c>
      <c r="H228" s="122">
        <v>0</v>
      </c>
      <c r="I228" s="123">
        <v>0</v>
      </c>
      <c r="J228" s="122">
        <v>0</v>
      </c>
      <c r="K228" s="122">
        <v>0</v>
      </c>
      <c r="L228" s="122">
        <v>0</v>
      </c>
      <c r="M228" s="123">
        <v>22</v>
      </c>
      <c r="N228" s="123">
        <v>28.57</v>
      </c>
      <c r="O228" s="124">
        <f t="shared" si="3"/>
        <v>220</v>
      </c>
      <c r="P228" s="51" t="s">
        <v>1371</v>
      </c>
    </row>
    <row r="229" spans="1:16" x14ac:dyDescent="0.3">
      <c r="A229" s="16">
        <v>4173</v>
      </c>
      <c r="B229" s="29" t="s">
        <v>539</v>
      </c>
      <c r="C229" s="29">
        <v>75437614</v>
      </c>
      <c r="D229" s="29" t="s">
        <v>475</v>
      </c>
      <c r="E229" s="43" t="s">
        <v>470</v>
      </c>
      <c r="F229" s="29" t="s">
        <v>129</v>
      </c>
      <c r="G229" s="122">
        <v>10</v>
      </c>
      <c r="H229" s="122">
        <v>0</v>
      </c>
      <c r="I229" s="123">
        <v>0</v>
      </c>
      <c r="J229" s="122">
        <v>0</v>
      </c>
      <c r="K229" s="122">
        <v>0</v>
      </c>
      <c r="L229" s="122">
        <v>0</v>
      </c>
      <c r="M229" s="123">
        <v>22</v>
      </c>
      <c r="N229" s="123">
        <v>28.57</v>
      </c>
      <c r="O229" s="124">
        <f t="shared" si="3"/>
        <v>220</v>
      </c>
      <c r="P229" s="51" t="s">
        <v>1371</v>
      </c>
    </row>
    <row r="230" spans="1:16" x14ac:dyDescent="0.3">
      <c r="A230" s="16">
        <v>4433</v>
      </c>
      <c r="B230" s="29" t="s">
        <v>520</v>
      </c>
      <c r="C230" s="29">
        <v>75437614</v>
      </c>
      <c r="D230" s="29" t="s">
        <v>475</v>
      </c>
      <c r="E230" s="43" t="s">
        <v>470</v>
      </c>
      <c r="F230" s="29" t="s">
        <v>129</v>
      </c>
      <c r="G230" s="122">
        <v>10</v>
      </c>
      <c r="H230" s="122">
        <v>0</v>
      </c>
      <c r="I230" s="123">
        <v>0</v>
      </c>
      <c r="J230" s="122">
        <v>0</v>
      </c>
      <c r="K230" s="122">
        <v>0</v>
      </c>
      <c r="L230" s="122">
        <v>0</v>
      </c>
      <c r="M230" s="123">
        <v>22</v>
      </c>
      <c r="N230" s="123">
        <v>28.57</v>
      </c>
      <c r="O230" s="124">
        <f t="shared" si="3"/>
        <v>220</v>
      </c>
      <c r="P230" s="51" t="s">
        <v>1371</v>
      </c>
    </row>
    <row r="231" spans="1:16" x14ac:dyDescent="0.3">
      <c r="A231" s="16">
        <v>458</v>
      </c>
      <c r="B231" s="29" t="s">
        <v>548</v>
      </c>
      <c r="C231" s="29">
        <v>75437623</v>
      </c>
      <c r="D231" s="29" t="s">
        <v>474</v>
      </c>
      <c r="E231" s="43" t="s">
        <v>470</v>
      </c>
      <c r="F231" s="29" t="s">
        <v>129</v>
      </c>
      <c r="G231" s="122">
        <v>10</v>
      </c>
      <c r="H231" s="122">
        <v>0</v>
      </c>
      <c r="I231" s="123">
        <v>0</v>
      </c>
      <c r="J231" s="122">
        <v>0</v>
      </c>
      <c r="K231" s="122">
        <v>0</v>
      </c>
      <c r="L231" s="122">
        <v>0</v>
      </c>
      <c r="M231" s="123">
        <v>32.85</v>
      </c>
      <c r="N231" s="123">
        <v>42.63</v>
      </c>
      <c r="O231" s="124">
        <f t="shared" si="3"/>
        <v>328.5</v>
      </c>
      <c r="P231" s="51" t="s">
        <v>1371</v>
      </c>
    </row>
    <row r="232" spans="1:16" x14ac:dyDescent="0.3">
      <c r="A232" s="16">
        <v>344</v>
      </c>
      <c r="B232" s="29" t="s">
        <v>535</v>
      </c>
      <c r="C232" s="29">
        <v>75214930</v>
      </c>
      <c r="D232" s="29" t="s">
        <v>469</v>
      </c>
      <c r="E232" s="43" t="s">
        <v>470</v>
      </c>
      <c r="F232" s="29" t="s">
        <v>129</v>
      </c>
      <c r="G232" s="122">
        <v>9</v>
      </c>
      <c r="H232" s="122">
        <v>0</v>
      </c>
      <c r="I232" s="123">
        <v>0</v>
      </c>
      <c r="J232" s="122">
        <v>0</v>
      </c>
      <c r="K232" s="122">
        <v>0</v>
      </c>
      <c r="L232" s="122">
        <v>0</v>
      </c>
      <c r="M232" s="123">
        <v>45.54</v>
      </c>
      <c r="N232" s="123">
        <v>61.61</v>
      </c>
      <c r="O232" s="124">
        <f t="shared" si="3"/>
        <v>409.86</v>
      </c>
      <c r="P232" s="51" t="s">
        <v>1371</v>
      </c>
    </row>
    <row r="233" spans="1:16" x14ac:dyDescent="0.3">
      <c r="A233" s="16">
        <v>948</v>
      </c>
      <c r="B233" s="29" t="s">
        <v>553</v>
      </c>
      <c r="C233" s="29">
        <v>75437610</v>
      </c>
      <c r="D233" s="29" t="s">
        <v>472</v>
      </c>
      <c r="E233" s="43" t="s">
        <v>470</v>
      </c>
      <c r="F233" s="29" t="s">
        <v>129</v>
      </c>
      <c r="G233" s="122">
        <v>9</v>
      </c>
      <c r="H233" s="122">
        <v>0</v>
      </c>
      <c r="I233" s="123">
        <v>0</v>
      </c>
      <c r="J233" s="122">
        <v>0</v>
      </c>
      <c r="K233" s="122">
        <v>0</v>
      </c>
      <c r="L233" s="122">
        <v>0</v>
      </c>
      <c r="M233" s="123">
        <v>51</v>
      </c>
      <c r="N233" s="123">
        <v>66.069999999999993</v>
      </c>
      <c r="O233" s="124">
        <f t="shared" si="3"/>
        <v>459</v>
      </c>
      <c r="P233" s="51" t="s">
        <v>1371</v>
      </c>
    </row>
    <row r="234" spans="1:16" x14ac:dyDescent="0.3">
      <c r="A234" s="16">
        <v>460</v>
      </c>
      <c r="B234" s="29" t="s">
        <v>546</v>
      </c>
      <c r="C234" s="29">
        <v>75437614</v>
      </c>
      <c r="D234" s="29" t="s">
        <v>475</v>
      </c>
      <c r="E234" s="43" t="s">
        <v>470</v>
      </c>
      <c r="F234" s="29" t="s">
        <v>129</v>
      </c>
      <c r="G234" s="122">
        <v>9</v>
      </c>
      <c r="H234" s="122">
        <v>0</v>
      </c>
      <c r="I234" s="123">
        <v>0</v>
      </c>
      <c r="J234" s="122">
        <v>0</v>
      </c>
      <c r="K234" s="122">
        <v>0</v>
      </c>
      <c r="L234" s="122">
        <v>0</v>
      </c>
      <c r="M234" s="123">
        <v>22</v>
      </c>
      <c r="N234" s="123">
        <v>28.57</v>
      </c>
      <c r="O234" s="124">
        <f t="shared" si="3"/>
        <v>198</v>
      </c>
      <c r="P234" s="51" t="s">
        <v>1371</v>
      </c>
    </row>
    <row r="235" spans="1:16" x14ac:dyDescent="0.3">
      <c r="A235" s="16">
        <v>4176</v>
      </c>
      <c r="B235" s="29" t="s">
        <v>536</v>
      </c>
      <c r="C235" s="29">
        <v>75437623</v>
      </c>
      <c r="D235" s="29" t="s">
        <v>474</v>
      </c>
      <c r="E235" s="43" t="s">
        <v>470</v>
      </c>
      <c r="F235" s="29" t="s">
        <v>129</v>
      </c>
      <c r="G235" s="122">
        <v>9</v>
      </c>
      <c r="H235" s="122">
        <v>0</v>
      </c>
      <c r="I235" s="123">
        <v>0</v>
      </c>
      <c r="J235" s="122">
        <v>0</v>
      </c>
      <c r="K235" s="122">
        <v>0</v>
      </c>
      <c r="L235" s="122">
        <v>0</v>
      </c>
      <c r="M235" s="123">
        <v>32.85</v>
      </c>
      <c r="N235" s="123">
        <v>42.63</v>
      </c>
      <c r="O235" s="124">
        <f t="shared" si="3"/>
        <v>295.65000000000003</v>
      </c>
      <c r="P235" s="51" t="s">
        <v>1371</v>
      </c>
    </row>
    <row r="236" spans="1:16" x14ac:dyDescent="0.3">
      <c r="A236" s="16">
        <v>20</v>
      </c>
      <c r="B236" s="29" t="s">
        <v>552</v>
      </c>
      <c r="C236" s="29">
        <v>75214930</v>
      </c>
      <c r="D236" s="29" t="s">
        <v>469</v>
      </c>
      <c r="E236" s="43" t="s">
        <v>470</v>
      </c>
      <c r="F236" s="29" t="s">
        <v>129</v>
      </c>
      <c r="G236" s="122">
        <v>8</v>
      </c>
      <c r="H236" s="122">
        <v>0</v>
      </c>
      <c r="I236" s="123">
        <v>0</v>
      </c>
      <c r="J236" s="122">
        <v>12</v>
      </c>
      <c r="K236" s="122">
        <v>0</v>
      </c>
      <c r="L236" s="122">
        <v>0</v>
      </c>
      <c r="M236" s="123">
        <v>45.54</v>
      </c>
      <c r="N236" s="123">
        <v>61.61</v>
      </c>
      <c r="O236" s="124">
        <f t="shared" si="3"/>
        <v>364.32</v>
      </c>
      <c r="P236" s="51" t="s">
        <v>1371</v>
      </c>
    </row>
    <row r="237" spans="1:16" x14ac:dyDescent="0.3">
      <c r="A237" s="16">
        <v>458</v>
      </c>
      <c r="B237" s="29" t="s">
        <v>548</v>
      </c>
      <c r="C237" s="29">
        <v>75214930</v>
      </c>
      <c r="D237" s="29" t="s">
        <v>469</v>
      </c>
      <c r="E237" s="43" t="s">
        <v>470</v>
      </c>
      <c r="F237" s="29" t="s">
        <v>129</v>
      </c>
      <c r="G237" s="122">
        <v>8</v>
      </c>
      <c r="H237" s="122">
        <v>0</v>
      </c>
      <c r="I237" s="123">
        <v>0</v>
      </c>
      <c r="J237" s="122">
        <v>0</v>
      </c>
      <c r="K237" s="122">
        <v>0</v>
      </c>
      <c r="L237" s="122">
        <v>0</v>
      </c>
      <c r="M237" s="123">
        <v>45.54</v>
      </c>
      <c r="N237" s="123">
        <v>61.61</v>
      </c>
      <c r="O237" s="124">
        <f t="shared" si="3"/>
        <v>364.32</v>
      </c>
      <c r="P237" s="51" t="s">
        <v>1371</v>
      </c>
    </row>
    <row r="238" spans="1:16" x14ac:dyDescent="0.3">
      <c r="A238" s="16">
        <v>169</v>
      </c>
      <c r="B238" s="29" t="s">
        <v>531</v>
      </c>
      <c r="C238" s="29">
        <v>75437610</v>
      </c>
      <c r="D238" s="29" t="s">
        <v>472</v>
      </c>
      <c r="E238" s="43" t="s">
        <v>470</v>
      </c>
      <c r="F238" s="29" t="s">
        <v>129</v>
      </c>
      <c r="G238" s="122">
        <v>8</v>
      </c>
      <c r="H238" s="122">
        <v>0</v>
      </c>
      <c r="I238" s="123">
        <v>0</v>
      </c>
      <c r="J238" s="122">
        <v>0</v>
      </c>
      <c r="K238" s="122">
        <v>0</v>
      </c>
      <c r="L238" s="122">
        <v>0</v>
      </c>
      <c r="M238" s="123">
        <v>51</v>
      </c>
      <c r="N238" s="123">
        <v>66.069999999999993</v>
      </c>
      <c r="O238" s="124">
        <f t="shared" si="3"/>
        <v>408</v>
      </c>
      <c r="P238" s="51" t="s">
        <v>1371</v>
      </c>
    </row>
    <row r="239" spans="1:16" x14ac:dyDescent="0.3">
      <c r="A239" s="16">
        <v>1054</v>
      </c>
      <c r="B239" s="29" t="s">
        <v>524</v>
      </c>
      <c r="C239" s="29">
        <v>75437610</v>
      </c>
      <c r="D239" s="29" t="s">
        <v>472</v>
      </c>
      <c r="E239" s="43" t="s">
        <v>470</v>
      </c>
      <c r="F239" s="29" t="s">
        <v>129</v>
      </c>
      <c r="G239" s="122">
        <v>8</v>
      </c>
      <c r="H239" s="122">
        <v>0</v>
      </c>
      <c r="I239" s="123">
        <v>0</v>
      </c>
      <c r="J239" s="122">
        <v>0</v>
      </c>
      <c r="K239" s="122">
        <v>0</v>
      </c>
      <c r="L239" s="122">
        <v>0</v>
      </c>
      <c r="M239" s="123">
        <v>51</v>
      </c>
      <c r="N239" s="123">
        <v>66.069999999999993</v>
      </c>
      <c r="O239" s="124">
        <f t="shared" si="3"/>
        <v>408</v>
      </c>
      <c r="P239" s="51" t="s">
        <v>1371</v>
      </c>
    </row>
    <row r="240" spans="1:16" x14ac:dyDescent="0.3">
      <c r="A240" s="16">
        <v>4173</v>
      </c>
      <c r="B240" s="29" t="s">
        <v>539</v>
      </c>
      <c r="C240" s="29">
        <v>75437616</v>
      </c>
      <c r="D240" s="29" t="s">
        <v>473</v>
      </c>
      <c r="E240" s="43" t="s">
        <v>470</v>
      </c>
      <c r="F240" s="29" t="s">
        <v>129</v>
      </c>
      <c r="G240" s="122">
        <v>8</v>
      </c>
      <c r="H240" s="122">
        <v>0</v>
      </c>
      <c r="I240" s="123">
        <v>0</v>
      </c>
      <c r="J240" s="122">
        <v>0</v>
      </c>
      <c r="K240" s="122">
        <v>0</v>
      </c>
      <c r="L240" s="122">
        <v>0</v>
      </c>
      <c r="M240" s="123">
        <v>22</v>
      </c>
      <c r="N240" s="123">
        <v>28.57</v>
      </c>
      <c r="O240" s="124">
        <f t="shared" si="3"/>
        <v>176</v>
      </c>
      <c r="P240" s="51" t="s">
        <v>1371</v>
      </c>
    </row>
    <row r="241" spans="1:16" x14ac:dyDescent="0.3">
      <c r="A241" s="16">
        <v>21</v>
      </c>
      <c r="B241" s="29" t="s">
        <v>550</v>
      </c>
      <c r="C241" s="29">
        <v>75214930</v>
      </c>
      <c r="D241" s="29" t="s">
        <v>469</v>
      </c>
      <c r="E241" s="43" t="s">
        <v>470</v>
      </c>
      <c r="F241" s="29" t="s">
        <v>129</v>
      </c>
      <c r="G241" s="122">
        <v>7</v>
      </c>
      <c r="H241" s="122">
        <v>0</v>
      </c>
      <c r="I241" s="123">
        <v>0</v>
      </c>
      <c r="J241" s="122">
        <v>24</v>
      </c>
      <c r="K241" s="122">
        <v>0</v>
      </c>
      <c r="L241" s="122">
        <v>0</v>
      </c>
      <c r="M241" s="123">
        <v>45.54</v>
      </c>
      <c r="N241" s="123">
        <v>61.61</v>
      </c>
      <c r="O241" s="124">
        <f t="shared" si="3"/>
        <v>318.77999999999997</v>
      </c>
      <c r="P241" s="51" t="s">
        <v>1371</v>
      </c>
    </row>
    <row r="242" spans="1:16" x14ac:dyDescent="0.3">
      <c r="A242" s="16">
        <v>47</v>
      </c>
      <c r="B242" s="29" t="s">
        <v>516</v>
      </c>
      <c r="C242" s="29">
        <v>75214930</v>
      </c>
      <c r="D242" s="29" t="s">
        <v>469</v>
      </c>
      <c r="E242" s="43" t="s">
        <v>470</v>
      </c>
      <c r="F242" s="29" t="s">
        <v>129</v>
      </c>
      <c r="G242" s="122">
        <v>6</v>
      </c>
      <c r="H242" s="122">
        <v>0</v>
      </c>
      <c r="I242" s="123">
        <v>0</v>
      </c>
      <c r="J242" s="122">
        <v>0</v>
      </c>
      <c r="K242" s="122">
        <v>0</v>
      </c>
      <c r="L242" s="122">
        <v>0</v>
      </c>
      <c r="M242" s="123">
        <v>45.54</v>
      </c>
      <c r="N242" s="123">
        <v>61.61</v>
      </c>
      <c r="O242" s="124">
        <f t="shared" si="3"/>
        <v>273.24</v>
      </c>
      <c r="P242" s="51" t="s">
        <v>1371</v>
      </c>
    </row>
    <row r="243" spans="1:16" x14ac:dyDescent="0.3">
      <c r="A243" s="16">
        <v>23</v>
      </c>
      <c r="B243" s="29" t="s">
        <v>521</v>
      </c>
      <c r="C243" s="29">
        <v>75437610</v>
      </c>
      <c r="D243" s="29" t="s">
        <v>472</v>
      </c>
      <c r="E243" s="43" t="s">
        <v>470</v>
      </c>
      <c r="F243" s="29" t="s">
        <v>129</v>
      </c>
      <c r="G243" s="122">
        <v>6</v>
      </c>
      <c r="H243" s="122">
        <v>0</v>
      </c>
      <c r="I243" s="123">
        <v>0</v>
      </c>
      <c r="J243" s="122">
        <v>0</v>
      </c>
      <c r="K243" s="122">
        <v>0</v>
      </c>
      <c r="L243" s="122">
        <v>0</v>
      </c>
      <c r="M243" s="123">
        <v>51</v>
      </c>
      <c r="N243" s="123">
        <v>66.069999999999993</v>
      </c>
      <c r="O243" s="124">
        <f t="shared" si="3"/>
        <v>306</v>
      </c>
      <c r="P243" s="51" t="s">
        <v>1371</v>
      </c>
    </row>
    <row r="244" spans="1:16" x14ac:dyDescent="0.3">
      <c r="A244" s="16">
        <v>457</v>
      </c>
      <c r="B244" s="29" t="s">
        <v>511</v>
      </c>
      <c r="C244" s="29">
        <v>75437614</v>
      </c>
      <c r="D244" s="29" t="s">
        <v>475</v>
      </c>
      <c r="E244" s="43" t="s">
        <v>470</v>
      </c>
      <c r="F244" s="29" t="s">
        <v>129</v>
      </c>
      <c r="G244" s="122">
        <v>4</v>
      </c>
      <c r="H244" s="122">
        <v>0</v>
      </c>
      <c r="I244" s="123">
        <v>0</v>
      </c>
      <c r="J244" s="122">
        <v>0</v>
      </c>
      <c r="K244" s="122">
        <v>0</v>
      </c>
      <c r="L244" s="122">
        <v>0</v>
      </c>
      <c r="M244" s="123">
        <v>22</v>
      </c>
      <c r="N244" s="123">
        <v>28.57</v>
      </c>
      <c r="O244" s="124">
        <f t="shared" si="3"/>
        <v>88</v>
      </c>
      <c r="P244" s="51" t="s">
        <v>1371</v>
      </c>
    </row>
    <row r="245" spans="1:16" x14ac:dyDescent="0.3">
      <c r="A245" s="16">
        <v>34</v>
      </c>
      <c r="B245" s="29" t="s">
        <v>529</v>
      </c>
      <c r="C245" s="29">
        <v>75437621</v>
      </c>
      <c r="D245" s="29" t="s">
        <v>471</v>
      </c>
      <c r="E245" s="43" t="s">
        <v>470</v>
      </c>
      <c r="F245" s="29" t="s">
        <v>129</v>
      </c>
      <c r="G245" s="122">
        <v>3</v>
      </c>
      <c r="H245" s="122">
        <v>0</v>
      </c>
      <c r="I245" s="123">
        <v>0</v>
      </c>
      <c r="J245" s="122">
        <v>0</v>
      </c>
      <c r="K245" s="122">
        <v>0</v>
      </c>
      <c r="L245" s="122">
        <v>0</v>
      </c>
      <c r="M245" s="123">
        <v>18.25</v>
      </c>
      <c r="N245" s="123">
        <v>23.66</v>
      </c>
      <c r="O245" s="124">
        <f t="shared" si="3"/>
        <v>54.75</v>
      </c>
      <c r="P245" s="51" t="s">
        <v>1371</v>
      </c>
    </row>
    <row r="246" spans="1:16" x14ac:dyDescent="0.3">
      <c r="A246" s="16">
        <v>414</v>
      </c>
      <c r="B246" s="29" t="s">
        <v>544</v>
      </c>
      <c r="C246" s="29">
        <v>75437621</v>
      </c>
      <c r="D246" s="29" t="s">
        <v>471</v>
      </c>
      <c r="E246" s="43" t="s">
        <v>470</v>
      </c>
      <c r="F246" s="29" t="s">
        <v>129</v>
      </c>
      <c r="G246" s="122">
        <v>187</v>
      </c>
      <c r="H246" s="122">
        <v>2</v>
      </c>
      <c r="I246" s="123">
        <v>44.64</v>
      </c>
      <c r="J246" s="122">
        <v>0</v>
      </c>
      <c r="K246" s="122">
        <v>0</v>
      </c>
      <c r="L246" s="122">
        <v>0</v>
      </c>
      <c r="M246" s="123">
        <v>18.25</v>
      </c>
      <c r="N246" s="123">
        <v>23.66</v>
      </c>
      <c r="O246" s="124">
        <f t="shared" si="3"/>
        <v>3412.75</v>
      </c>
      <c r="P246" s="43" t="s">
        <v>1372</v>
      </c>
    </row>
    <row r="247" spans="1:16" x14ac:dyDescent="0.3">
      <c r="A247" s="16">
        <v>121</v>
      </c>
      <c r="B247" s="29" t="s">
        <v>522</v>
      </c>
      <c r="C247" s="29">
        <v>75437621</v>
      </c>
      <c r="D247" s="29" t="s">
        <v>471</v>
      </c>
      <c r="E247" s="43" t="s">
        <v>470</v>
      </c>
      <c r="F247" s="29" t="s">
        <v>129</v>
      </c>
      <c r="G247" s="122">
        <v>184</v>
      </c>
      <c r="H247" s="122">
        <v>2</v>
      </c>
      <c r="I247" s="123">
        <v>44.64</v>
      </c>
      <c r="J247" s="122">
        <v>0</v>
      </c>
      <c r="K247" s="122">
        <v>0</v>
      </c>
      <c r="L247" s="122">
        <v>0</v>
      </c>
      <c r="M247" s="123">
        <v>18.25</v>
      </c>
      <c r="N247" s="123">
        <v>23.66</v>
      </c>
      <c r="O247" s="124">
        <f t="shared" si="3"/>
        <v>3358</v>
      </c>
      <c r="P247" s="43" t="s">
        <v>1372</v>
      </c>
    </row>
    <row r="248" spans="1:16" x14ac:dyDescent="0.3">
      <c r="A248" s="16">
        <v>4037</v>
      </c>
      <c r="B248" s="29" t="s">
        <v>517</v>
      </c>
      <c r="C248" s="29">
        <v>75437621</v>
      </c>
      <c r="D248" s="29" t="s">
        <v>471</v>
      </c>
      <c r="E248" s="43" t="s">
        <v>470</v>
      </c>
      <c r="F248" s="29" t="s">
        <v>129</v>
      </c>
      <c r="G248" s="122">
        <v>171</v>
      </c>
      <c r="H248" s="122">
        <v>4</v>
      </c>
      <c r="I248" s="123">
        <v>89.28</v>
      </c>
      <c r="J248" s="122">
        <v>0</v>
      </c>
      <c r="K248" s="122">
        <v>0</v>
      </c>
      <c r="L248" s="122">
        <v>0</v>
      </c>
      <c r="M248" s="123">
        <v>18.25</v>
      </c>
      <c r="N248" s="123">
        <v>23.66</v>
      </c>
      <c r="O248" s="124">
        <f t="shared" si="3"/>
        <v>3120.75</v>
      </c>
      <c r="P248" s="43" t="s">
        <v>1372</v>
      </c>
    </row>
    <row r="249" spans="1:16" x14ac:dyDescent="0.3">
      <c r="A249" s="16">
        <v>948</v>
      </c>
      <c r="B249" s="29" t="s">
        <v>553</v>
      </c>
      <c r="C249" s="29">
        <v>75437621</v>
      </c>
      <c r="D249" s="29" t="s">
        <v>471</v>
      </c>
      <c r="E249" s="43" t="s">
        <v>470</v>
      </c>
      <c r="F249" s="29" t="s">
        <v>129</v>
      </c>
      <c r="G249" s="122">
        <v>169</v>
      </c>
      <c r="H249" s="122">
        <v>2</v>
      </c>
      <c r="I249" s="123">
        <v>44.64</v>
      </c>
      <c r="J249" s="122">
        <v>0</v>
      </c>
      <c r="K249" s="122">
        <v>0</v>
      </c>
      <c r="L249" s="122">
        <v>0</v>
      </c>
      <c r="M249" s="123">
        <v>18.25</v>
      </c>
      <c r="N249" s="123">
        <v>23.66</v>
      </c>
      <c r="O249" s="124">
        <f t="shared" si="3"/>
        <v>3084.25</v>
      </c>
      <c r="P249" s="43" t="s">
        <v>1372</v>
      </c>
    </row>
    <row r="250" spans="1:16" x14ac:dyDescent="0.3">
      <c r="A250" s="16">
        <v>4116</v>
      </c>
      <c r="B250" s="29" t="s">
        <v>557</v>
      </c>
      <c r="C250" s="29">
        <v>75437621</v>
      </c>
      <c r="D250" s="29" t="s">
        <v>471</v>
      </c>
      <c r="E250" s="43" t="s">
        <v>470</v>
      </c>
      <c r="F250" s="29" t="s">
        <v>129</v>
      </c>
      <c r="G250" s="122">
        <v>158</v>
      </c>
      <c r="H250" s="122">
        <v>2</v>
      </c>
      <c r="I250" s="123">
        <v>44.64</v>
      </c>
      <c r="J250" s="122">
        <v>0</v>
      </c>
      <c r="K250" s="122">
        <v>0</v>
      </c>
      <c r="L250" s="122">
        <v>0</v>
      </c>
      <c r="M250" s="123">
        <v>18.25</v>
      </c>
      <c r="N250" s="123">
        <v>23.66</v>
      </c>
      <c r="O250" s="124">
        <f t="shared" si="3"/>
        <v>2883.5</v>
      </c>
      <c r="P250" s="43" t="s">
        <v>1372</v>
      </c>
    </row>
    <row r="251" spans="1:16" x14ac:dyDescent="0.3">
      <c r="A251" s="16">
        <v>4414</v>
      </c>
      <c r="B251" s="29" t="s">
        <v>525</v>
      </c>
      <c r="C251" s="29">
        <v>75437621</v>
      </c>
      <c r="D251" s="29" t="s">
        <v>471</v>
      </c>
      <c r="E251" s="43" t="s">
        <v>470</v>
      </c>
      <c r="F251" s="29" t="s">
        <v>129</v>
      </c>
      <c r="G251" s="122">
        <v>119</v>
      </c>
      <c r="H251" s="122">
        <v>2</v>
      </c>
      <c r="I251" s="123">
        <v>44.64</v>
      </c>
      <c r="J251" s="122">
        <v>0</v>
      </c>
      <c r="K251" s="122">
        <v>0</v>
      </c>
      <c r="L251" s="122">
        <v>0</v>
      </c>
      <c r="M251" s="123">
        <v>18.25</v>
      </c>
      <c r="N251" s="123">
        <v>23.66</v>
      </c>
      <c r="O251" s="124">
        <f t="shared" si="3"/>
        <v>2171.75</v>
      </c>
      <c r="P251" s="43" t="s">
        <v>1372</v>
      </c>
    </row>
    <row r="252" spans="1:16" x14ac:dyDescent="0.3">
      <c r="A252" s="16">
        <v>121</v>
      </c>
      <c r="B252" s="29" t="s">
        <v>522</v>
      </c>
      <c r="C252" s="29">
        <v>75437614</v>
      </c>
      <c r="D252" s="29" t="s">
        <v>475</v>
      </c>
      <c r="E252" s="43" t="s">
        <v>470</v>
      </c>
      <c r="F252" s="29" t="s">
        <v>129</v>
      </c>
      <c r="G252" s="122">
        <v>111</v>
      </c>
      <c r="H252" s="122">
        <v>2</v>
      </c>
      <c r="I252" s="123">
        <v>57.32</v>
      </c>
      <c r="J252" s="122">
        <v>0</v>
      </c>
      <c r="K252" s="122">
        <v>0</v>
      </c>
      <c r="L252" s="122">
        <v>0</v>
      </c>
      <c r="M252" s="123">
        <v>22</v>
      </c>
      <c r="N252" s="123">
        <v>28.57</v>
      </c>
      <c r="O252" s="124">
        <f t="shared" si="3"/>
        <v>2442</v>
      </c>
      <c r="P252" s="43" t="s">
        <v>1372</v>
      </c>
    </row>
    <row r="253" spans="1:16" x14ac:dyDescent="0.3">
      <c r="A253" s="16">
        <v>491</v>
      </c>
      <c r="B253" s="29" t="s">
        <v>514</v>
      </c>
      <c r="C253" s="29">
        <v>75437621</v>
      </c>
      <c r="D253" s="29" t="s">
        <v>471</v>
      </c>
      <c r="E253" s="43" t="s">
        <v>470</v>
      </c>
      <c r="F253" s="29" t="s">
        <v>129</v>
      </c>
      <c r="G253" s="122">
        <v>109</v>
      </c>
      <c r="H253" s="122">
        <v>7</v>
      </c>
      <c r="I253" s="123">
        <v>166.88</v>
      </c>
      <c r="J253" s="122">
        <v>0</v>
      </c>
      <c r="K253" s="122">
        <v>0</v>
      </c>
      <c r="L253" s="122">
        <v>0</v>
      </c>
      <c r="M253" s="123">
        <v>18.25</v>
      </c>
      <c r="N253" s="123">
        <v>23.66</v>
      </c>
      <c r="O253" s="124">
        <f t="shared" si="3"/>
        <v>1989.25</v>
      </c>
      <c r="P253" s="43" t="s">
        <v>1372</v>
      </c>
    </row>
    <row r="254" spans="1:16" x14ac:dyDescent="0.3">
      <c r="A254" s="16">
        <v>4087</v>
      </c>
      <c r="B254" s="29" t="s">
        <v>532</v>
      </c>
      <c r="C254" s="29">
        <v>75437621</v>
      </c>
      <c r="D254" s="29" t="s">
        <v>471</v>
      </c>
      <c r="E254" s="43" t="s">
        <v>470</v>
      </c>
      <c r="F254" s="29" t="s">
        <v>129</v>
      </c>
      <c r="G254" s="122">
        <v>108</v>
      </c>
      <c r="H254" s="122">
        <v>7</v>
      </c>
      <c r="I254" s="123">
        <v>166.88</v>
      </c>
      <c r="J254" s="122">
        <v>0</v>
      </c>
      <c r="K254" s="122">
        <v>0</v>
      </c>
      <c r="L254" s="122">
        <v>0</v>
      </c>
      <c r="M254" s="123">
        <v>18.25</v>
      </c>
      <c r="N254" s="123">
        <v>23.66</v>
      </c>
      <c r="O254" s="124">
        <f t="shared" si="3"/>
        <v>1971</v>
      </c>
      <c r="P254" s="43" t="s">
        <v>1372</v>
      </c>
    </row>
    <row r="255" spans="1:16" x14ac:dyDescent="0.3">
      <c r="A255" s="16">
        <v>4370</v>
      </c>
      <c r="B255" s="29" t="s">
        <v>542</v>
      </c>
      <c r="C255" s="29">
        <v>75437621</v>
      </c>
      <c r="D255" s="29" t="s">
        <v>471</v>
      </c>
      <c r="E255" s="43" t="s">
        <v>470</v>
      </c>
      <c r="F255" s="29" t="s">
        <v>129</v>
      </c>
      <c r="G255" s="122">
        <v>95</v>
      </c>
      <c r="H255" s="122">
        <v>3</v>
      </c>
      <c r="I255" s="123">
        <v>66.959999999999994</v>
      </c>
      <c r="J255" s="122">
        <v>0</v>
      </c>
      <c r="K255" s="122">
        <v>0</v>
      </c>
      <c r="L255" s="122">
        <v>0</v>
      </c>
      <c r="M255" s="123">
        <v>18.25</v>
      </c>
      <c r="N255" s="123">
        <v>23.66</v>
      </c>
      <c r="O255" s="124">
        <f t="shared" si="3"/>
        <v>1733.75</v>
      </c>
      <c r="P255" s="43" t="s">
        <v>1372</v>
      </c>
    </row>
    <row r="256" spans="1:16" x14ac:dyDescent="0.3">
      <c r="A256" s="16">
        <v>1054</v>
      </c>
      <c r="B256" s="29" t="s">
        <v>524</v>
      </c>
      <c r="C256" s="29">
        <v>75437621</v>
      </c>
      <c r="D256" s="29" t="s">
        <v>471</v>
      </c>
      <c r="E256" s="43" t="s">
        <v>470</v>
      </c>
      <c r="F256" s="29" t="s">
        <v>129</v>
      </c>
      <c r="G256" s="122">
        <v>80</v>
      </c>
      <c r="H256" s="122">
        <v>2</v>
      </c>
      <c r="I256" s="123">
        <v>44.64</v>
      </c>
      <c r="J256" s="122">
        <v>0</v>
      </c>
      <c r="K256" s="122">
        <v>0</v>
      </c>
      <c r="L256" s="122">
        <v>0</v>
      </c>
      <c r="M256" s="123">
        <v>18.25</v>
      </c>
      <c r="N256" s="123">
        <v>23.66</v>
      </c>
      <c r="O256" s="124">
        <f t="shared" si="3"/>
        <v>1460</v>
      </c>
      <c r="P256" s="43" t="s">
        <v>1372</v>
      </c>
    </row>
    <row r="257" spans="1:16" x14ac:dyDescent="0.3">
      <c r="A257" s="16">
        <v>4412</v>
      </c>
      <c r="B257" s="29" t="s">
        <v>538</v>
      </c>
      <c r="C257" s="29">
        <v>75437614</v>
      </c>
      <c r="D257" s="29" t="s">
        <v>475</v>
      </c>
      <c r="E257" s="43" t="s">
        <v>470</v>
      </c>
      <c r="F257" s="29" t="s">
        <v>129</v>
      </c>
      <c r="G257" s="122">
        <v>64</v>
      </c>
      <c r="H257" s="122">
        <v>12</v>
      </c>
      <c r="I257" s="123">
        <v>343.92</v>
      </c>
      <c r="J257" s="122">
        <v>0</v>
      </c>
      <c r="K257" s="122">
        <v>0</v>
      </c>
      <c r="L257" s="122">
        <v>0</v>
      </c>
      <c r="M257" s="123">
        <v>22</v>
      </c>
      <c r="N257" s="123">
        <v>28.57</v>
      </c>
      <c r="O257" s="124">
        <f t="shared" si="3"/>
        <v>1408</v>
      </c>
      <c r="P257" s="43" t="s">
        <v>1372</v>
      </c>
    </row>
    <row r="258" spans="1:16" x14ac:dyDescent="0.3">
      <c r="A258" s="16">
        <v>169</v>
      </c>
      <c r="B258" s="29" t="s">
        <v>531</v>
      </c>
      <c r="C258" s="29">
        <v>75437621</v>
      </c>
      <c r="D258" s="29" t="s">
        <v>471</v>
      </c>
      <c r="E258" s="43" t="s">
        <v>470</v>
      </c>
      <c r="F258" s="29" t="s">
        <v>129</v>
      </c>
      <c r="G258" s="122">
        <v>61</v>
      </c>
      <c r="H258" s="122">
        <v>7</v>
      </c>
      <c r="I258" s="123">
        <v>160.9</v>
      </c>
      <c r="J258" s="122">
        <v>0</v>
      </c>
      <c r="K258" s="122">
        <v>0</v>
      </c>
      <c r="L258" s="122">
        <v>0</v>
      </c>
      <c r="M258" s="123">
        <v>18.25</v>
      </c>
      <c r="N258" s="123">
        <v>23.66</v>
      </c>
      <c r="O258" s="124">
        <f t="shared" si="3"/>
        <v>1113.25</v>
      </c>
      <c r="P258" s="43" t="s">
        <v>1372</v>
      </c>
    </row>
    <row r="259" spans="1:16" x14ac:dyDescent="0.3">
      <c r="A259" s="16">
        <v>414</v>
      </c>
      <c r="B259" s="29" t="s">
        <v>544</v>
      </c>
      <c r="C259" s="29">
        <v>75214930</v>
      </c>
      <c r="D259" s="29" t="s">
        <v>469</v>
      </c>
      <c r="E259" s="43" t="s">
        <v>470</v>
      </c>
      <c r="F259" s="29" t="s">
        <v>129</v>
      </c>
      <c r="G259" s="122">
        <v>60</v>
      </c>
      <c r="H259" s="122">
        <v>1</v>
      </c>
      <c r="I259" s="123">
        <v>61.61</v>
      </c>
      <c r="J259" s="122">
        <v>12</v>
      </c>
      <c r="K259" s="122">
        <v>0</v>
      </c>
      <c r="L259" s="122">
        <v>0</v>
      </c>
      <c r="M259" s="123">
        <v>45.54</v>
      </c>
      <c r="N259" s="123">
        <v>61.61</v>
      </c>
      <c r="O259" s="124">
        <f t="shared" si="3"/>
        <v>2732.4</v>
      </c>
      <c r="P259" s="43" t="s">
        <v>1372</v>
      </c>
    </row>
    <row r="260" spans="1:16" x14ac:dyDescent="0.3">
      <c r="A260" s="16">
        <v>4414</v>
      </c>
      <c r="B260" s="29" t="s">
        <v>525</v>
      </c>
      <c r="C260" s="29">
        <v>75437616</v>
      </c>
      <c r="D260" s="29" t="s">
        <v>473</v>
      </c>
      <c r="E260" s="43" t="s">
        <v>470</v>
      </c>
      <c r="F260" s="29" t="s">
        <v>129</v>
      </c>
      <c r="G260" s="122">
        <v>56</v>
      </c>
      <c r="H260" s="122">
        <v>1</v>
      </c>
      <c r="I260" s="123">
        <v>22.32</v>
      </c>
      <c r="J260" s="122">
        <v>0</v>
      </c>
      <c r="K260" s="122">
        <v>0</v>
      </c>
      <c r="L260" s="122">
        <v>0</v>
      </c>
      <c r="M260" s="123">
        <v>22</v>
      </c>
      <c r="N260" s="123">
        <v>28.57</v>
      </c>
      <c r="O260" s="124">
        <f t="shared" ref="O260:O323" si="4">G260*M260</f>
        <v>1232</v>
      </c>
      <c r="P260" s="43" t="s">
        <v>1372</v>
      </c>
    </row>
    <row r="261" spans="1:16" x14ac:dyDescent="0.3">
      <c r="A261" s="16">
        <v>4412</v>
      </c>
      <c r="B261" s="29" t="s">
        <v>538</v>
      </c>
      <c r="C261" s="29">
        <v>75437616</v>
      </c>
      <c r="D261" s="29" t="s">
        <v>473</v>
      </c>
      <c r="E261" s="43" t="s">
        <v>470</v>
      </c>
      <c r="F261" s="29" t="s">
        <v>129</v>
      </c>
      <c r="G261" s="122">
        <v>54</v>
      </c>
      <c r="H261" s="122">
        <v>1</v>
      </c>
      <c r="I261" s="123">
        <v>22.32</v>
      </c>
      <c r="J261" s="122">
        <v>0</v>
      </c>
      <c r="K261" s="122">
        <v>0</v>
      </c>
      <c r="L261" s="122">
        <v>0</v>
      </c>
      <c r="M261" s="123">
        <v>22</v>
      </c>
      <c r="N261" s="123">
        <v>28.57</v>
      </c>
      <c r="O261" s="124">
        <f t="shared" si="4"/>
        <v>1188</v>
      </c>
      <c r="P261" s="43" t="s">
        <v>1372</v>
      </c>
    </row>
    <row r="262" spans="1:16" x14ac:dyDescent="0.3">
      <c r="A262" s="16">
        <v>22</v>
      </c>
      <c r="B262" s="29" t="s">
        <v>509</v>
      </c>
      <c r="C262" s="29">
        <v>75214930</v>
      </c>
      <c r="D262" s="29" t="s">
        <v>469</v>
      </c>
      <c r="E262" s="43" t="s">
        <v>470</v>
      </c>
      <c r="F262" s="29" t="s">
        <v>129</v>
      </c>
      <c r="G262" s="122">
        <v>46</v>
      </c>
      <c r="H262" s="122">
        <v>5</v>
      </c>
      <c r="I262" s="123">
        <v>308.05</v>
      </c>
      <c r="J262" s="122">
        <v>0</v>
      </c>
      <c r="K262" s="122">
        <v>0</v>
      </c>
      <c r="L262" s="122">
        <v>0</v>
      </c>
      <c r="M262" s="123">
        <v>45.54</v>
      </c>
      <c r="N262" s="123">
        <v>61.61</v>
      </c>
      <c r="O262" s="124">
        <f t="shared" si="4"/>
        <v>2094.84</v>
      </c>
      <c r="P262" s="43" t="s">
        <v>1372</v>
      </c>
    </row>
    <row r="263" spans="1:16" x14ac:dyDescent="0.3">
      <c r="A263" s="16">
        <v>180</v>
      </c>
      <c r="B263" s="29" t="s">
        <v>528</v>
      </c>
      <c r="C263" s="29">
        <v>75437610</v>
      </c>
      <c r="D263" s="29" t="s">
        <v>472</v>
      </c>
      <c r="E263" s="43" t="s">
        <v>470</v>
      </c>
      <c r="F263" s="29" t="s">
        <v>129</v>
      </c>
      <c r="G263" s="122">
        <v>38</v>
      </c>
      <c r="H263" s="122">
        <v>2</v>
      </c>
      <c r="I263" s="123">
        <v>132.68</v>
      </c>
      <c r="J263" s="122">
        <v>0</v>
      </c>
      <c r="K263" s="122">
        <v>0</v>
      </c>
      <c r="L263" s="122">
        <v>0</v>
      </c>
      <c r="M263" s="123">
        <v>51</v>
      </c>
      <c r="N263" s="123">
        <v>66.069999999999993</v>
      </c>
      <c r="O263" s="124">
        <f t="shared" si="4"/>
        <v>1938</v>
      </c>
      <c r="P263" s="43" t="s">
        <v>1372</v>
      </c>
    </row>
    <row r="264" spans="1:16" x14ac:dyDescent="0.3">
      <c r="A264" s="16">
        <v>108</v>
      </c>
      <c r="B264" s="29" t="s">
        <v>512</v>
      </c>
      <c r="C264" s="29">
        <v>75437621</v>
      </c>
      <c r="D264" s="29" t="s">
        <v>471</v>
      </c>
      <c r="E264" s="43" t="s">
        <v>470</v>
      </c>
      <c r="F264" s="29" t="s">
        <v>129</v>
      </c>
      <c r="G264" s="122">
        <v>38</v>
      </c>
      <c r="H264" s="122">
        <v>11</v>
      </c>
      <c r="I264" s="123">
        <v>262.24</v>
      </c>
      <c r="J264" s="122">
        <v>0</v>
      </c>
      <c r="K264" s="122">
        <v>0</v>
      </c>
      <c r="L264" s="122">
        <v>0</v>
      </c>
      <c r="M264" s="123">
        <v>18.25</v>
      </c>
      <c r="N264" s="123">
        <v>23.66</v>
      </c>
      <c r="O264" s="124">
        <f t="shared" si="4"/>
        <v>693.5</v>
      </c>
      <c r="P264" s="43" t="s">
        <v>1372</v>
      </c>
    </row>
    <row r="265" spans="1:16" x14ac:dyDescent="0.3">
      <c r="A265" s="16">
        <v>4116</v>
      </c>
      <c r="B265" s="29" t="s">
        <v>557</v>
      </c>
      <c r="C265" s="29">
        <v>75437614</v>
      </c>
      <c r="D265" s="29" t="s">
        <v>475</v>
      </c>
      <c r="E265" s="43" t="s">
        <v>470</v>
      </c>
      <c r="F265" s="29" t="s">
        <v>129</v>
      </c>
      <c r="G265" s="122">
        <v>32</v>
      </c>
      <c r="H265" s="122">
        <v>1</v>
      </c>
      <c r="I265" s="123">
        <v>28.66</v>
      </c>
      <c r="J265" s="122">
        <v>0</v>
      </c>
      <c r="K265" s="122">
        <v>0</v>
      </c>
      <c r="L265" s="122">
        <v>0</v>
      </c>
      <c r="M265" s="123">
        <v>22</v>
      </c>
      <c r="N265" s="123">
        <v>28.57</v>
      </c>
      <c r="O265" s="124">
        <f t="shared" si="4"/>
        <v>704</v>
      </c>
      <c r="P265" s="43" t="s">
        <v>1372</v>
      </c>
    </row>
    <row r="266" spans="1:16" x14ac:dyDescent="0.3">
      <c r="A266" s="16">
        <v>4317</v>
      </c>
      <c r="B266" s="29" t="s">
        <v>540</v>
      </c>
      <c r="C266" s="29">
        <v>75437621</v>
      </c>
      <c r="D266" s="29" t="s">
        <v>471</v>
      </c>
      <c r="E266" s="43" t="s">
        <v>470</v>
      </c>
      <c r="F266" s="29" t="s">
        <v>129</v>
      </c>
      <c r="G266" s="122">
        <v>28</v>
      </c>
      <c r="H266" s="122">
        <v>2</v>
      </c>
      <c r="I266" s="123">
        <v>47.68</v>
      </c>
      <c r="J266" s="122">
        <v>0</v>
      </c>
      <c r="K266" s="122">
        <v>0</v>
      </c>
      <c r="L266" s="122">
        <v>0</v>
      </c>
      <c r="M266" s="123">
        <v>18.25</v>
      </c>
      <c r="N266" s="123">
        <v>23.66</v>
      </c>
      <c r="O266" s="124">
        <f t="shared" si="4"/>
        <v>511</v>
      </c>
      <c r="P266" s="43" t="s">
        <v>1372</v>
      </c>
    </row>
    <row r="267" spans="1:16" x14ac:dyDescent="0.3">
      <c r="A267" s="16">
        <v>164</v>
      </c>
      <c r="B267" s="29" t="s">
        <v>555</v>
      </c>
      <c r="C267" s="29">
        <v>75437623</v>
      </c>
      <c r="D267" s="29" t="s">
        <v>474</v>
      </c>
      <c r="E267" s="43" t="s">
        <v>470</v>
      </c>
      <c r="F267" s="29" t="s">
        <v>129</v>
      </c>
      <c r="G267" s="122">
        <v>28</v>
      </c>
      <c r="H267" s="122">
        <v>2</v>
      </c>
      <c r="I267" s="123">
        <v>85.54</v>
      </c>
      <c r="J267" s="122">
        <v>0</v>
      </c>
      <c r="K267" s="122">
        <v>0</v>
      </c>
      <c r="L267" s="122">
        <v>0</v>
      </c>
      <c r="M267" s="123">
        <v>32.85</v>
      </c>
      <c r="N267" s="123">
        <v>42.63</v>
      </c>
      <c r="O267" s="124">
        <f t="shared" si="4"/>
        <v>919.80000000000007</v>
      </c>
      <c r="P267" s="43" t="s">
        <v>1372</v>
      </c>
    </row>
    <row r="268" spans="1:16" x14ac:dyDescent="0.3">
      <c r="A268" s="16">
        <v>164</v>
      </c>
      <c r="B268" s="29" t="s">
        <v>555</v>
      </c>
      <c r="C268" s="29">
        <v>75214930</v>
      </c>
      <c r="D268" s="29" t="s">
        <v>469</v>
      </c>
      <c r="E268" s="43" t="s">
        <v>470</v>
      </c>
      <c r="F268" s="29" t="s">
        <v>129</v>
      </c>
      <c r="G268" s="122">
        <v>27</v>
      </c>
      <c r="H268" s="122">
        <v>4</v>
      </c>
      <c r="I268" s="123">
        <v>246.44</v>
      </c>
      <c r="J268" s="122">
        <v>0</v>
      </c>
      <c r="K268" s="122">
        <v>0</v>
      </c>
      <c r="L268" s="122">
        <v>0</v>
      </c>
      <c r="M268" s="123">
        <v>45.54</v>
      </c>
      <c r="N268" s="123">
        <v>61.61</v>
      </c>
      <c r="O268" s="124">
        <f t="shared" si="4"/>
        <v>1229.58</v>
      </c>
      <c r="P268" s="43" t="s">
        <v>1372</v>
      </c>
    </row>
    <row r="269" spans="1:16" x14ac:dyDescent="0.3">
      <c r="A269" s="16">
        <v>4414</v>
      </c>
      <c r="B269" s="29" t="s">
        <v>525</v>
      </c>
      <c r="C269" s="29">
        <v>75214930</v>
      </c>
      <c r="D269" s="29" t="s">
        <v>469</v>
      </c>
      <c r="E269" s="43" t="s">
        <v>470</v>
      </c>
      <c r="F269" s="29" t="s">
        <v>129</v>
      </c>
      <c r="G269" s="122">
        <v>27</v>
      </c>
      <c r="H269" s="122">
        <v>1</v>
      </c>
      <c r="I269" s="123">
        <v>61.61</v>
      </c>
      <c r="J269" s="122">
        <v>0</v>
      </c>
      <c r="K269" s="122">
        <v>0</v>
      </c>
      <c r="L269" s="122">
        <v>0</v>
      </c>
      <c r="M269" s="123">
        <v>45.54</v>
      </c>
      <c r="N269" s="123">
        <v>61.61</v>
      </c>
      <c r="O269" s="124">
        <f t="shared" si="4"/>
        <v>1229.58</v>
      </c>
      <c r="P269" s="43" t="s">
        <v>1372</v>
      </c>
    </row>
    <row r="270" spans="1:16" x14ac:dyDescent="0.3">
      <c r="A270" s="16">
        <v>35</v>
      </c>
      <c r="B270" s="29" t="s">
        <v>549</v>
      </c>
      <c r="C270" s="29">
        <v>75437621</v>
      </c>
      <c r="D270" s="29" t="s">
        <v>471</v>
      </c>
      <c r="E270" s="43" t="s">
        <v>470</v>
      </c>
      <c r="F270" s="29" t="s">
        <v>129</v>
      </c>
      <c r="G270" s="122">
        <v>27</v>
      </c>
      <c r="H270" s="122">
        <v>10</v>
      </c>
      <c r="I270" s="123">
        <v>238.4</v>
      </c>
      <c r="J270" s="122">
        <v>0</v>
      </c>
      <c r="K270" s="122">
        <v>0</v>
      </c>
      <c r="L270" s="122">
        <v>0</v>
      </c>
      <c r="M270" s="123">
        <v>18.25</v>
      </c>
      <c r="N270" s="123">
        <v>23.66</v>
      </c>
      <c r="O270" s="124">
        <f t="shared" si="4"/>
        <v>492.75</v>
      </c>
      <c r="P270" s="43" t="s">
        <v>1372</v>
      </c>
    </row>
    <row r="271" spans="1:16" x14ac:dyDescent="0.3">
      <c r="A271" s="16">
        <v>4490</v>
      </c>
      <c r="B271" s="29" t="s">
        <v>537</v>
      </c>
      <c r="C271" s="29">
        <v>75437621</v>
      </c>
      <c r="D271" s="29" t="s">
        <v>471</v>
      </c>
      <c r="E271" s="43" t="s">
        <v>470</v>
      </c>
      <c r="F271" s="29" t="s">
        <v>129</v>
      </c>
      <c r="G271" s="122">
        <v>27</v>
      </c>
      <c r="H271" s="122">
        <v>1</v>
      </c>
      <c r="I271" s="123">
        <v>23.84</v>
      </c>
      <c r="J271" s="122">
        <v>0</v>
      </c>
      <c r="K271" s="122">
        <v>0</v>
      </c>
      <c r="L271" s="122">
        <v>0</v>
      </c>
      <c r="M271" s="123">
        <v>18.25</v>
      </c>
      <c r="N271" s="123">
        <v>23.66</v>
      </c>
      <c r="O271" s="124">
        <f t="shared" si="4"/>
        <v>492.75</v>
      </c>
      <c r="P271" s="43" t="s">
        <v>1372</v>
      </c>
    </row>
    <row r="272" spans="1:16" x14ac:dyDescent="0.3">
      <c r="A272" s="16">
        <v>24</v>
      </c>
      <c r="B272" s="29" t="s">
        <v>543</v>
      </c>
      <c r="C272" s="29">
        <v>75437623</v>
      </c>
      <c r="D272" s="29" t="s">
        <v>474</v>
      </c>
      <c r="E272" s="43" t="s">
        <v>470</v>
      </c>
      <c r="F272" s="29" t="s">
        <v>129</v>
      </c>
      <c r="G272" s="122">
        <v>27</v>
      </c>
      <c r="H272" s="122">
        <v>3</v>
      </c>
      <c r="I272" s="123">
        <v>128.31</v>
      </c>
      <c r="J272" s="122">
        <v>0</v>
      </c>
      <c r="K272" s="122">
        <v>0</v>
      </c>
      <c r="L272" s="122">
        <v>0</v>
      </c>
      <c r="M272" s="123">
        <v>32.85</v>
      </c>
      <c r="N272" s="123">
        <v>42.63</v>
      </c>
      <c r="O272" s="124">
        <f t="shared" si="4"/>
        <v>886.95</v>
      </c>
      <c r="P272" s="43" t="s">
        <v>1372</v>
      </c>
    </row>
    <row r="273" spans="1:16" x14ac:dyDescent="0.3">
      <c r="A273" s="16">
        <v>727</v>
      </c>
      <c r="B273" s="29" t="s">
        <v>518</v>
      </c>
      <c r="C273" s="29">
        <v>75437616</v>
      </c>
      <c r="D273" s="29" t="s">
        <v>473</v>
      </c>
      <c r="E273" s="43" t="s">
        <v>470</v>
      </c>
      <c r="F273" s="29" t="s">
        <v>129</v>
      </c>
      <c r="G273" s="122">
        <v>26</v>
      </c>
      <c r="H273" s="122">
        <v>2</v>
      </c>
      <c r="I273" s="123">
        <v>57.32</v>
      </c>
      <c r="J273" s="122">
        <v>0</v>
      </c>
      <c r="K273" s="122">
        <v>0</v>
      </c>
      <c r="L273" s="122">
        <v>0</v>
      </c>
      <c r="M273" s="123">
        <v>22</v>
      </c>
      <c r="N273" s="123">
        <v>28.57</v>
      </c>
      <c r="O273" s="124">
        <f t="shared" si="4"/>
        <v>572</v>
      </c>
      <c r="P273" s="43" t="s">
        <v>1372</v>
      </c>
    </row>
    <row r="274" spans="1:16" x14ac:dyDescent="0.3">
      <c r="A274" s="16">
        <v>22</v>
      </c>
      <c r="B274" s="29" t="s">
        <v>509</v>
      </c>
      <c r="C274" s="29">
        <v>75437621</v>
      </c>
      <c r="D274" s="29" t="s">
        <v>471</v>
      </c>
      <c r="E274" s="43" t="s">
        <v>470</v>
      </c>
      <c r="F274" s="29" t="s">
        <v>129</v>
      </c>
      <c r="G274" s="122">
        <v>26</v>
      </c>
      <c r="H274" s="122">
        <v>2</v>
      </c>
      <c r="I274" s="123">
        <v>47.68</v>
      </c>
      <c r="J274" s="122">
        <v>0</v>
      </c>
      <c r="K274" s="122">
        <v>0</v>
      </c>
      <c r="L274" s="122">
        <v>0</v>
      </c>
      <c r="M274" s="123">
        <v>18.25</v>
      </c>
      <c r="N274" s="123">
        <v>23.66</v>
      </c>
      <c r="O274" s="124">
        <f t="shared" si="4"/>
        <v>474.5</v>
      </c>
      <c r="P274" s="43" t="s">
        <v>1372</v>
      </c>
    </row>
    <row r="275" spans="1:16" x14ac:dyDescent="0.3">
      <c r="A275" s="16">
        <v>457</v>
      </c>
      <c r="B275" s="29" t="s">
        <v>511</v>
      </c>
      <c r="C275" s="29">
        <v>75437621</v>
      </c>
      <c r="D275" s="29" t="s">
        <v>471</v>
      </c>
      <c r="E275" s="43" t="s">
        <v>470</v>
      </c>
      <c r="F275" s="29" t="s">
        <v>129</v>
      </c>
      <c r="G275" s="122">
        <v>26</v>
      </c>
      <c r="H275" s="122">
        <v>7</v>
      </c>
      <c r="I275" s="123">
        <v>166.88</v>
      </c>
      <c r="J275" s="122">
        <v>0</v>
      </c>
      <c r="K275" s="122">
        <v>0</v>
      </c>
      <c r="L275" s="122">
        <v>0</v>
      </c>
      <c r="M275" s="123">
        <v>18.25</v>
      </c>
      <c r="N275" s="123">
        <v>23.66</v>
      </c>
      <c r="O275" s="124">
        <f t="shared" si="4"/>
        <v>474.5</v>
      </c>
      <c r="P275" s="43" t="s">
        <v>1372</v>
      </c>
    </row>
    <row r="276" spans="1:16" x14ac:dyDescent="0.3">
      <c r="A276" s="16">
        <v>22</v>
      </c>
      <c r="B276" s="29" t="s">
        <v>509</v>
      </c>
      <c r="C276" s="29">
        <v>75437623</v>
      </c>
      <c r="D276" s="29" t="s">
        <v>474</v>
      </c>
      <c r="E276" s="43" t="s">
        <v>470</v>
      </c>
      <c r="F276" s="29" t="s">
        <v>129</v>
      </c>
      <c r="G276" s="122">
        <v>25</v>
      </c>
      <c r="H276" s="122">
        <v>2</v>
      </c>
      <c r="I276" s="123">
        <v>53.58</v>
      </c>
      <c r="J276" s="122">
        <v>0</v>
      </c>
      <c r="K276" s="122">
        <v>0</v>
      </c>
      <c r="L276" s="122">
        <v>0</v>
      </c>
      <c r="M276" s="123">
        <v>32.85</v>
      </c>
      <c r="N276" s="123">
        <v>42.63</v>
      </c>
      <c r="O276" s="124">
        <f t="shared" si="4"/>
        <v>821.25</v>
      </c>
      <c r="P276" s="43" t="s">
        <v>1372</v>
      </c>
    </row>
    <row r="277" spans="1:16" x14ac:dyDescent="0.3">
      <c r="A277" s="16">
        <v>20</v>
      </c>
      <c r="B277" s="29" t="s">
        <v>552</v>
      </c>
      <c r="C277" s="29">
        <v>75437623</v>
      </c>
      <c r="D277" s="29" t="s">
        <v>474</v>
      </c>
      <c r="E277" s="43" t="s">
        <v>470</v>
      </c>
      <c r="F277" s="29" t="s">
        <v>129</v>
      </c>
      <c r="G277" s="122">
        <v>23</v>
      </c>
      <c r="H277" s="122">
        <v>1</v>
      </c>
      <c r="I277" s="123">
        <v>42.77</v>
      </c>
      <c r="J277" s="122">
        <v>0</v>
      </c>
      <c r="K277" s="122">
        <v>0</v>
      </c>
      <c r="L277" s="122">
        <v>0</v>
      </c>
      <c r="M277" s="123">
        <v>32.85</v>
      </c>
      <c r="N277" s="123">
        <v>42.63</v>
      </c>
      <c r="O277" s="124">
        <f t="shared" si="4"/>
        <v>755.55000000000007</v>
      </c>
      <c r="P277" s="43" t="s">
        <v>1372</v>
      </c>
    </row>
    <row r="278" spans="1:16" x14ac:dyDescent="0.3">
      <c r="A278" s="16">
        <v>4037</v>
      </c>
      <c r="B278" s="29" t="s">
        <v>517</v>
      </c>
      <c r="C278" s="29">
        <v>75437623</v>
      </c>
      <c r="D278" s="29" t="s">
        <v>474</v>
      </c>
      <c r="E278" s="43" t="s">
        <v>470</v>
      </c>
      <c r="F278" s="29" t="s">
        <v>129</v>
      </c>
      <c r="G278" s="122">
        <v>22</v>
      </c>
      <c r="H278" s="122">
        <v>7</v>
      </c>
      <c r="I278" s="123">
        <v>299.39</v>
      </c>
      <c r="J278" s="122">
        <v>0</v>
      </c>
      <c r="K278" s="122">
        <v>0</v>
      </c>
      <c r="L278" s="122">
        <v>0</v>
      </c>
      <c r="M278" s="123">
        <v>32.85</v>
      </c>
      <c r="N278" s="123">
        <v>42.63</v>
      </c>
      <c r="O278" s="124">
        <f t="shared" si="4"/>
        <v>722.7</v>
      </c>
      <c r="P278" s="43" t="s">
        <v>1372</v>
      </c>
    </row>
    <row r="279" spans="1:16" x14ac:dyDescent="0.3">
      <c r="A279" s="16">
        <v>491</v>
      </c>
      <c r="B279" s="29" t="s">
        <v>514</v>
      </c>
      <c r="C279" s="29">
        <v>75437610</v>
      </c>
      <c r="D279" s="29" t="s">
        <v>472</v>
      </c>
      <c r="E279" s="43" t="s">
        <v>470</v>
      </c>
      <c r="F279" s="29" t="s">
        <v>129</v>
      </c>
      <c r="G279" s="122">
        <v>21</v>
      </c>
      <c r="H279" s="122">
        <v>4</v>
      </c>
      <c r="I279" s="123">
        <v>265.36</v>
      </c>
      <c r="J279" s="122">
        <v>0</v>
      </c>
      <c r="K279" s="122">
        <v>0</v>
      </c>
      <c r="L279" s="122">
        <v>0</v>
      </c>
      <c r="M279" s="123">
        <v>51</v>
      </c>
      <c r="N279" s="123">
        <v>66.069999999999993</v>
      </c>
      <c r="O279" s="124">
        <f t="shared" si="4"/>
        <v>1071</v>
      </c>
      <c r="P279" s="43" t="s">
        <v>1372</v>
      </c>
    </row>
    <row r="280" spans="1:16" x14ac:dyDescent="0.3">
      <c r="A280" s="16">
        <v>4037</v>
      </c>
      <c r="B280" s="29" t="s">
        <v>517</v>
      </c>
      <c r="C280" s="29">
        <v>75437610</v>
      </c>
      <c r="D280" s="29" t="s">
        <v>472</v>
      </c>
      <c r="E280" s="43" t="s">
        <v>470</v>
      </c>
      <c r="F280" s="29" t="s">
        <v>129</v>
      </c>
      <c r="G280" s="122">
        <v>21</v>
      </c>
      <c r="H280" s="122">
        <v>2</v>
      </c>
      <c r="I280" s="123">
        <v>132.68</v>
      </c>
      <c r="J280" s="122">
        <v>0</v>
      </c>
      <c r="K280" s="122">
        <v>0</v>
      </c>
      <c r="L280" s="122">
        <v>0</v>
      </c>
      <c r="M280" s="123">
        <v>51</v>
      </c>
      <c r="N280" s="123">
        <v>66.069999999999993</v>
      </c>
      <c r="O280" s="124">
        <f t="shared" si="4"/>
        <v>1071</v>
      </c>
      <c r="P280" s="43" t="s">
        <v>1372</v>
      </c>
    </row>
    <row r="281" spans="1:16" x14ac:dyDescent="0.3">
      <c r="A281" s="16">
        <v>4116</v>
      </c>
      <c r="B281" s="29" t="s">
        <v>557</v>
      </c>
      <c r="C281" s="29">
        <v>75437610</v>
      </c>
      <c r="D281" s="29" t="s">
        <v>472</v>
      </c>
      <c r="E281" s="43" t="s">
        <v>470</v>
      </c>
      <c r="F281" s="29" t="s">
        <v>129</v>
      </c>
      <c r="G281" s="122">
        <v>21</v>
      </c>
      <c r="H281" s="122">
        <v>1</v>
      </c>
      <c r="I281" s="123">
        <v>66.34</v>
      </c>
      <c r="J281" s="122">
        <v>0</v>
      </c>
      <c r="K281" s="122">
        <v>0</v>
      </c>
      <c r="L281" s="122">
        <v>0</v>
      </c>
      <c r="M281" s="123">
        <v>51</v>
      </c>
      <c r="N281" s="123">
        <v>66.069999999999993</v>
      </c>
      <c r="O281" s="124">
        <f t="shared" si="4"/>
        <v>1071</v>
      </c>
      <c r="P281" s="43" t="s">
        <v>1372</v>
      </c>
    </row>
    <row r="282" spans="1:16" x14ac:dyDescent="0.3">
      <c r="A282" s="16">
        <v>727</v>
      </c>
      <c r="B282" s="29" t="s">
        <v>518</v>
      </c>
      <c r="C282" s="29">
        <v>75437614</v>
      </c>
      <c r="D282" s="29" t="s">
        <v>475</v>
      </c>
      <c r="E282" s="43" t="s">
        <v>470</v>
      </c>
      <c r="F282" s="29" t="s">
        <v>129</v>
      </c>
      <c r="G282" s="122">
        <v>21</v>
      </c>
      <c r="H282" s="122">
        <v>1</v>
      </c>
      <c r="I282" s="123">
        <v>28.66</v>
      </c>
      <c r="J282" s="122">
        <v>0</v>
      </c>
      <c r="K282" s="122">
        <v>0</v>
      </c>
      <c r="L282" s="122">
        <v>0</v>
      </c>
      <c r="M282" s="123">
        <v>22</v>
      </c>
      <c r="N282" s="123">
        <v>28.57</v>
      </c>
      <c r="O282" s="124">
        <f t="shared" si="4"/>
        <v>462</v>
      </c>
      <c r="P282" s="43" t="s">
        <v>1372</v>
      </c>
    </row>
    <row r="283" spans="1:16" x14ac:dyDescent="0.3">
      <c r="A283" s="16">
        <v>4087</v>
      </c>
      <c r="B283" s="29" t="s">
        <v>532</v>
      </c>
      <c r="C283" s="29">
        <v>75437614</v>
      </c>
      <c r="D283" s="29" t="s">
        <v>475</v>
      </c>
      <c r="E283" s="43" t="s">
        <v>470</v>
      </c>
      <c r="F283" s="29" t="s">
        <v>129</v>
      </c>
      <c r="G283" s="122">
        <v>21</v>
      </c>
      <c r="H283" s="122">
        <v>1</v>
      </c>
      <c r="I283" s="123">
        <v>28.66</v>
      </c>
      <c r="J283" s="122">
        <v>0</v>
      </c>
      <c r="K283" s="122">
        <v>0</v>
      </c>
      <c r="L283" s="122">
        <v>0</v>
      </c>
      <c r="M283" s="123">
        <v>22</v>
      </c>
      <c r="N283" s="123">
        <v>28.57</v>
      </c>
      <c r="O283" s="124">
        <f t="shared" si="4"/>
        <v>462</v>
      </c>
      <c r="P283" s="43" t="s">
        <v>1372</v>
      </c>
    </row>
    <row r="284" spans="1:16" x14ac:dyDescent="0.3">
      <c r="A284" s="16">
        <v>4087</v>
      </c>
      <c r="B284" s="29" t="s">
        <v>532</v>
      </c>
      <c r="C284" s="29">
        <v>75437616</v>
      </c>
      <c r="D284" s="29" t="s">
        <v>473</v>
      </c>
      <c r="E284" s="43" t="s">
        <v>470</v>
      </c>
      <c r="F284" s="29" t="s">
        <v>129</v>
      </c>
      <c r="G284" s="122">
        <v>21</v>
      </c>
      <c r="H284" s="122">
        <v>3</v>
      </c>
      <c r="I284" s="123">
        <v>85.98</v>
      </c>
      <c r="J284" s="122">
        <v>0</v>
      </c>
      <c r="K284" s="122">
        <v>0</v>
      </c>
      <c r="L284" s="122">
        <v>0</v>
      </c>
      <c r="M284" s="123">
        <v>22</v>
      </c>
      <c r="N284" s="123">
        <v>28.57</v>
      </c>
      <c r="O284" s="124">
        <f t="shared" si="4"/>
        <v>462</v>
      </c>
      <c r="P284" s="43" t="s">
        <v>1372</v>
      </c>
    </row>
    <row r="285" spans="1:16" x14ac:dyDescent="0.3">
      <c r="A285" s="16">
        <v>4126</v>
      </c>
      <c r="B285" s="29" t="s">
        <v>547</v>
      </c>
      <c r="C285" s="29">
        <v>75214930</v>
      </c>
      <c r="D285" s="29" t="s">
        <v>469</v>
      </c>
      <c r="E285" s="43" t="s">
        <v>470</v>
      </c>
      <c r="F285" s="29" t="s">
        <v>129</v>
      </c>
      <c r="G285" s="122">
        <v>20</v>
      </c>
      <c r="H285" s="122">
        <v>2</v>
      </c>
      <c r="I285" s="123">
        <v>123.22</v>
      </c>
      <c r="J285" s="122">
        <v>0</v>
      </c>
      <c r="K285" s="122">
        <v>0</v>
      </c>
      <c r="L285" s="122">
        <v>0</v>
      </c>
      <c r="M285" s="123">
        <v>45.54</v>
      </c>
      <c r="N285" s="123">
        <v>61.61</v>
      </c>
      <c r="O285" s="124">
        <f t="shared" si="4"/>
        <v>910.8</v>
      </c>
      <c r="P285" s="43" t="s">
        <v>1372</v>
      </c>
    </row>
    <row r="286" spans="1:16" x14ac:dyDescent="0.3">
      <c r="A286" s="16">
        <v>22</v>
      </c>
      <c r="B286" s="29" t="s">
        <v>509</v>
      </c>
      <c r="C286" s="29">
        <v>75437610</v>
      </c>
      <c r="D286" s="29" t="s">
        <v>472</v>
      </c>
      <c r="E286" s="43" t="s">
        <v>470</v>
      </c>
      <c r="F286" s="29" t="s">
        <v>129</v>
      </c>
      <c r="G286" s="122">
        <v>20</v>
      </c>
      <c r="H286" s="122">
        <v>1</v>
      </c>
      <c r="I286" s="123">
        <v>66.34</v>
      </c>
      <c r="J286" s="122">
        <v>0</v>
      </c>
      <c r="K286" s="122">
        <v>0</v>
      </c>
      <c r="L286" s="122">
        <v>0</v>
      </c>
      <c r="M286" s="123">
        <v>51</v>
      </c>
      <c r="N286" s="123">
        <v>66.069999999999993</v>
      </c>
      <c r="O286" s="124">
        <f t="shared" si="4"/>
        <v>1020</v>
      </c>
      <c r="P286" s="43" t="s">
        <v>1372</v>
      </c>
    </row>
    <row r="287" spans="1:16" x14ac:dyDescent="0.3">
      <c r="A287" s="16">
        <v>4173</v>
      </c>
      <c r="B287" s="29" t="s">
        <v>539</v>
      </c>
      <c r="C287" s="29">
        <v>75437610</v>
      </c>
      <c r="D287" s="29" t="s">
        <v>472</v>
      </c>
      <c r="E287" s="43" t="s">
        <v>470</v>
      </c>
      <c r="F287" s="29" t="s">
        <v>129</v>
      </c>
      <c r="G287" s="122">
        <v>20</v>
      </c>
      <c r="H287" s="122">
        <v>1</v>
      </c>
      <c r="I287" s="123">
        <v>66.34</v>
      </c>
      <c r="J287" s="122">
        <v>0</v>
      </c>
      <c r="K287" s="122">
        <v>0</v>
      </c>
      <c r="L287" s="122">
        <v>0</v>
      </c>
      <c r="M287" s="123">
        <v>51</v>
      </c>
      <c r="N287" s="123">
        <v>66.069999999999993</v>
      </c>
      <c r="O287" s="124">
        <f t="shared" si="4"/>
        <v>1020</v>
      </c>
      <c r="P287" s="43" t="s">
        <v>1372</v>
      </c>
    </row>
    <row r="288" spans="1:16" x14ac:dyDescent="0.3">
      <c r="A288" s="16">
        <v>121</v>
      </c>
      <c r="B288" s="29" t="s">
        <v>522</v>
      </c>
      <c r="C288" s="29">
        <v>75437623</v>
      </c>
      <c r="D288" s="29" t="s">
        <v>474</v>
      </c>
      <c r="E288" s="43" t="s">
        <v>470</v>
      </c>
      <c r="F288" s="29" t="s">
        <v>129</v>
      </c>
      <c r="G288" s="122">
        <v>19</v>
      </c>
      <c r="H288" s="122">
        <v>1</v>
      </c>
      <c r="I288" s="123">
        <v>42.77</v>
      </c>
      <c r="J288" s="122">
        <v>0</v>
      </c>
      <c r="K288" s="122">
        <v>0</v>
      </c>
      <c r="L288" s="122">
        <v>0</v>
      </c>
      <c r="M288" s="123">
        <v>32.85</v>
      </c>
      <c r="N288" s="123">
        <v>42.63</v>
      </c>
      <c r="O288" s="124">
        <f t="shared" si="4"/>
        <v>624.15</v>
      </c>
      <c r="P288" s="43" t="s">
        <v>1372</v>
      </c>
    </row>
    <row r="289" spans="1:16" x14ac:dyDescent="0.3">
      <c r="A289" s="16">
        <v>459</v>
      </c>
      <c r="B289" s="29" t="s">
        <v>527</v>
      </c>
      <c r="C289" s="29">
        <v>75437616</v>
      </c>
      <c r="D289" s="29" t="s">
        <v>473</v>
      </c>
      <c r="E289" s="43" t="s">
        <v>470</v>
      </c>
      <c r="F289" s="29" t="s">
        <v>129</v>
      </c>
      <c r="G289" s="122">
        <v>18</v>
      </c>
      <c r="H289" s="122">
        <v>8</v>
      </c>
      <c r="I289" s="123">
        <v>178.56</v>
      </c>
      <c r="J289" s="122">
        <v>20</v>
      </c>
      <c r="K289" s="122">
        <v>0</v>
      </c>
      <c r="L289" s="122">
        <v>0</v>
      </c>
      <c r="M289" s="123">
        <v>22</v>
      </c>
      <c r="N289" s="123">
        <v>28.57</v>
      </c>
      <c r="O289" s="124">
        <f t="shared" si="4"/>
        <v>396</v>
      </c>
      <c r="P289" s="43" t="s">
        <v>1372</v>
      </c>
    </row>
    <row r="290" spans="1:16" x14ac:dyDescent="0.3">
      <c r="A290" s="16">
        <v>4491</v>
      </c>
      <c r="B290" s="29" t="s">
        <v>559</v>
      </c>
      <c r="C290" s="29">
        <v>75437616</v>
      </c>
      <c r="D290" s="29" t="s">
        <v>473</v>
      </c>
      <c r="E290" s="43" t="s">
        <v>470</v>
      </c>
      <c r="F290" s="29" t="s">
        <v>129</v>
      </c>
      <c r="G290" s="122">
        <v>18</v>
      </c>
      <c r="H290" s="122">
        <v>1</v>
      </c>
      <c r="I290" s="123">
        <v>28.66</v>
      </c>
      <c r="J290" s="122">
        <v>0</v>
      </c>
      <c r="K290" s="122">
        <v>0</v>
      </c>
      <c r="L290" s="122">
        <v>0</v>
      </c>
      <c r="M290" s="123">
        <v>22</v>
      </c>
      <c r="N290" s="123">
        <v>28.57</v>
      </c>
      <c r="O290" s="124">
        <f t="shared" si="4"/>
        <v>396</v>
      </c>
      <c r="P290" s="43" t="s">
        <v>1372</v>
      </c>
    </row>
    <row r="291" spans="1:16" x14ac:dyDescent="0.3">
      <c r="A291" s="16">
        <v>491</v>
      </c>
      <c r="B291" s="29" t="s">
        <v>514</v>
      </c>
      <c r="C291" s="29">
        <v>75437623</v>
      </c>
      <c r="D291" s="29" t="s">
        <v>474</v>
      </c>
      <c r="E291" s="43" t="s">
        <v>470</v>
      </c>
      <c r="F291" s="29" t="s">
        <v>129</v>
      </c>
      <c r="G291" s="122">
        <v>17</v>
      </c>
      <c r="H291" s="122">
        <v>3</v>
      </c>
      <c r="I291" s="123">
        <v>96.35</v>
      </c>
      <c r="J291" s="122">
        <v>0</v>
      </c>
      <c r="K291" s="122">
        <v>0</v>
      </c>
      <c r="L291" s="122">
        <v>0</v>
      </c>
      <c r="M291" s="123">
        <v>32.85</v>
      </c>
      <c r="N291" s="123">
        <v>42.63</v>
      </c>
      <c r="O291" s="124">
        <f t="shared" si="4"/>
        <v>558.45000000000005</v>
      </c>
      <c r="P291" s="43" t="s">
        <v>1372</v>
      </c>
    </row>
    <row r="292" spans="1:16" x14ac:dyDescent="0.3">
      <c r="A292" s="16">
        <v>4087</v>
      </c>
      <c r="B292" s="29" t="s">
        <v>532</v>
      </c>
      <c r="C292" s="29">
        <v>75437623</v>
      </c>
      <c r="D292" s="29" t="s">
        <v>474</v>
      </c>
      <c r="E292" s="43" t="s">
        <v>470</v>
      </c>
      <c r="F292" s="29" t="s">
        <v>129</v>
      </c>
      <c r="G292" s="122">
        <v>17</v>
      </c>
      <c r="H292" s="122">
        <v>1</v>
      </c>
      <c r="I292" s="123">
        <v>42.77</v>
      </c>
      <c r="J292" s="122">
        <v>0</v>
      </c>
      <c r="K292" s="122">
        <v>0</v>
      </c>
      <c r="L292" s="122">
        <v>0</v>
      </c>
      <c r="M292" s="123">
        <v>32.85</v>
      </c>
      <c r="N292" s="123">
        <v>42.63</v>
      </c>
      <c r="O292" s="124">
        <f t="shared" si="4"/>
        <v>558.45000000000005</v>
      </c>
      <c r="P292" s="43" t="s">
        <v>1372</v>
      </c>
    </row>
    <row r="293" spans="1:16" x14ac:dyDescent="0.3">
      <c r="A293" s="16">
        <v>33</v>
      </c>
      <c r="B293" s="29" t="s">
        <v>526</v>
      </c>
      <c r="C293" s="29">
        <v>75437614</v>
      </c>
      <c r="D293" s="29" t="s">
        <v>475</v>
      </c>
      <c r="E293" s="43" t="s">
        <v>470</v>
      </c>
      <c r="F293" s="29" t="s">
        <v>129</v>
      </c>
      <c r="G293" s="122">
        <v>16</v>
      </c>
      <c r="H293" s="122">
        <v>1</v>
      </c>
      <c r="I293" s="123">
        <v>28.66</v>
      </c>
      <c r="J293" s="122">
        <v>0</v>
      </c>
      <c r="K293" s="122">
        <v>0</v>
      </c>
      <c r="L293" s="122">
        <v>0</v>
      </c>
      <c r="M293" s="123">
        <v>22</v>
      </c>
      <c r="N293" s="123">
        <v>28.57</v>
      </c>
      <c r="O293" s="124">
        <f t="shared" si="4"/>
        <v>352</v>
      </c>
      <c r="P293" s="43" t="s">
        <v>1372</v>
      </c>
    </row>
    <row r="294" spans="1:16" x14ac:dyDescent="0.3">
      <c r="A294" s="16">
        <v>21</v>
      </c>
      <c r="B294" s="29" t="s">
        <v>550</v>
      </c>
      <c r="C294" s="29">
        <v>75437623</v>
      </c>
      <c r="D294" s="29" t="s">
        <v>474</v>
      </c>
      <c r="E294" s="43" t="s">
        <v>470</v>
      </c>
      <c r="F294" s="29" t="s">
        <v>129</v>
      </c>
      <c r="G294" s="122">
        <v>16</v>
      </c>
      <c r="H294" s="122">
        <v>2</v>
      </c>
      <c r="I294" s="123">
        <v>53.58</v>
      </c>
      <c r="J294" s="122">
        <v>0</v>
      </c>
      <c r="K294" s="122">
        <v>0</v>
      </c>
      <c r="L294" s="122">
        <v>0</v>
      </c>
      <c r="M294" s="123">
        <v>32.85</v>
      </c>
      <c r="N294" s="123">
        <v>42.63</v>
      </c>
      <c r="O294" s="124">
        <f t="shared" si="4"/>
        <v>525.6</v>
      </c>
      <c r="P294" s="43" t="s">
        <v>1372</v>
      </c>
    </row>
    <row r="295" spans="1:16" x14ac:dyDescent="0.3">
      <c r="A295" s="16">
        <v>34</v>
      </c>
      <c r="B295" s="29" t="s">
        <v>529</v>
      </c>
      <c r="C295" s="29">
        <v>75437623</v>
      </c>
      <c r="D295" s="29" t="s">
        <v>474</v>
      </c>
      <c r="E295" s="43" t="s">
        <v>470</v>
      </c>
      <c r="F295" s="29" t="s">
        <v>129</v>
      </c>
      <c r="G295" s="122">
        <v>16</v>
      </c>
      <c r="H295" s="122">
        <v>4</v>
      </c>
      <c r="I295" s="123">
        <v>107.16</v>
      </c>
      <c r="J295" s="122">
        <v>0</v>
      </c>
      <c r="K295" s="122">
        <v>0</v>
      </c>
      <c r="L295" s="122">
        <v>0</v>
      </c>
      <c r="M295" s="123">
        <v>32.85</v>
      </c>
      <c r="N295" s="123">
        <v>42.63</v>
      </c>
      <c r="O295" s="124">
        <f t="shared" si="4"/>
        <v>525.6</v>
      </c>
      <c r="P295" s="43" t="s">
        <v>1372</v>
      </c>
    </row>
    <row r="296" spans="1:16" x14ac:dyDescent="0.3">
      <c r="A296" s="16">
        <v>4126</v>
      </c>
      <c r="B296" s="29" t="s">
        <v>547</v>
      </c>
      <c r="C296" s="29">
        <v>75437616</v>
      </c>
      <c r="D296" s="29" t="s">
        <v>473</v>
      </c>
      <c r="E296" s="43" t="s">
        <v>470</v>
      </c>
      <c r="F296" s="29" t="s">
        <v>129</v>
      </c>
      <c r="G296" s="122">
        <v>15</v>
      </c>
      <c r="H296" s="122">
        <v>5</v>
      </c>
      <c r="I296" s="123">
        <v>143.30000000000001</v>
      </c>
      <c r="J296" s="122">
        <v>0</v>
      </c>
      <c r="K296" s="122">
        <v>0</v>
      </c>
      <c r="L296" s="122">
        <v>0</v>
      </c>
      <c r="M296" s="123">
        <v>22</v>
      </c>
      <c r="N296" s="123">
        <v>28.57</v>
      </c>
      <c r="O296" s="124">
        <f t="shared" si="4"/>
        <v>330</v>
      </c>
      <c r="P296" s="43" t="s">
        <v>1372</v>
      </c>
    </row>
    <row r="297" spans="1:16" x14ac:dyDescent="0.3">
      <c r="A297" s="16">
        <v>457</v>
      </c>
      <c r="B297" s="29" t="s">
        <v>511</v>
      </c>
      <c r="C297" s="29">
        <v>75437623</v>
      </c>
      <c r="D297" s="29" t="s">
        <v>474</v>
      </c>
      <c r="E297" s="43" t="s">
        <v>470</v>
      </c>
      <c r="F297" s="29" t="s">
        <v>129</v>
      </c>
      <c r="G297" s="122">
        <v>15</v>
      </c>
      <c r="H297" s="122">
        <v>4</v>
      </c>
      <c r="I297" s="123">
        <v>171.08</v>
      </c>
      <c r="J297" s="122">
        <v>0</v>
      </c>
      <c r="K297" s="122">
        <v>0</v>
      </c>
      <c r="L297" s="122">
        <v>0</v>
      </c>
      <c r="M297" s="123">
        <v>32.85</v>
      </c>
      <c r="N297" s="123">
        <v>42.63</v>
      </c>
      <c r="O297" s="124">
        <f t="shared" si="4"/>
        <v>492.75</v>
      </c>
      <c r="P297" s="43" t="s">
        <v>1372</v>
      </c>
    </row>
    <row r="298" spans="1:16" x14ac:dyDescent="0.3">
      <c r="A298" s="16">
        <v>4491</v>
      </c>
      <c r="B298" s="29" t="s">
        <v>559</v>
      </c>
      <c r="C298" s="29">
        <v>75437621</v>
      </c>
      <c r="D298" s="29" t="s">
        <v>471</v>
      </c>
      <c r="E298" s="43" t="s">
        <v>470</v>
      </c>
      <c r="F298" s="29" t="s">
        <v>129</v>
      </c>
      <c r="G298" s="122">
        <v>14</v>
      </c>
      <c r="H298" s="122">
        <v>3</v>
      </c>
      <c r="I298" s="123">
        <v>71.52</v>
      </c>
      <c r="J298" s="122">
        <v>0</v>
      </c>
      <c r="K298" s="122">
        <v>0</v>
      </c>
      <c r="L298" s="122">
        <v>0</v>
      </c>
      <c r="M298" s="123">
        <v>18.25</v>
      </c>
      <c r="N298" s="123">
        <v>23.66</v>
      </c>
      <c r="O298" s="124">
        <f t="shared" si="4"/>
        <v>255.5</v>
      </c>
      <c r="P298" s="43" t="s">
        <v>1372</v>
      </c>
    </row>
    <row r="299" spans="1:16" x14ac:dyDescent="0.3">
      <c r="A299" s="16">
        <v>4173</v>
      </c>
      <c r="B299" s="29" t="s">
        <v>539</v>
      </c>
      <c r="C299" s="29">
        <v>75437623</v>
      </c>
      <c r="D299" s="29" t="s">
        <v>474</v>
      </c>
      <c r="E299" s="43" t="s">
        <v>470</v>
      </c>
      <c r="F299" s="29" t="s">
        <v>129</v>
      </c>
      <c r="G299" s="122">
        <v>14</v>
      </c>
      <c r="H299" s="122">
        <v>2</v>
      </c>
      <c r="I299" s="123">
        <v>85.54</v>
      </c>
      <c r="J299" s="122">
        <v>0</v>
      </c>
      <c r="K299" s="122">
        <v>0</v>
      </c>
      <c r="L299" s="122">
        <v>0</v>
      </c>
      <c r="M299" s="123">
        <v>32.85</v>
      </c>
      <c r="N299" s="123">
        <v>42.63</v>
      </c>
      <c r="O299" s="124">
        <f t="shared" si="4"/>
        <v>459.90000000000003</v>
      </c>
      <c r="P299" s="43" t="s">
        <v>1372</v>
      </c>
    </row>
    <row r="300" spans="1:16" x14ac:dyDescent="0.3">
      <c r="A300" s="16">
        <v>180</v>
      </c>
      <c r="B300" s="29" t="s">
        <v>528</v>
      </c>
      <c r="C300" s="29">
        <v>75437614</v>
      </c>
      <c r="D300" s="29" t="s">
        <v>475</v>
      </c>
      <c r="E300" s="43" t="s">
        <v>470</v>
      </c>
      <c r="F300" s="29" t="s">
        <v>129</v>
      </c>
      <c r="G300" s="122">
        <v>13</v>
      </c>
      <c r="H300" s="122">
        <v>1</v>
      </c>
      <c r="I300" s="123">
        <v>28.66</v>
      </c>
      <c r="J300" s="122">
        <v>0</v>
      </c>
      <c r="K300" s="122">
        <v>0</v>
      </c>
      <c r="L300" s="122">
        <v>0</v>
      </c>
      <c r="M300" s="123">
        <v>22</v>
      </c>
      <c r="N300" s="123">
        <v>28.57</v>
      </c>
      <c r="O300" s="124">
        <f t="shared" si="4"/>
        <v>286</v>
      </c>
      <c r="P300" s="43" t="s">
        <v>1372</v>
      </c>
    </row>
    <row r="301" spans="1:16" x14ac:dyDescent="0.3">
      <c r="A301" s="16">
        <v>4176</v>
      </c>
      <c r="B301" s="29" t="s">
        <v>536</v>
      </c>
      <c r="C301" s="29">
        <v>75437621</v>
      </c>
      <c r="D301" s="29" t="s">
        <v>471</v>
      </c>
      <c r="E301" s="43" t="s">
        <v>470</v>
      </c>
      <c r="F301" s="29" t="s">
        <v>129</v>
      </c>
      <c r="G301" s="122">
        <v>13</v>
      </c>
      <c r="H301" s="122">
        <v>1</v>
      </c>
      <c r="I301" s="123">
        <v>23.84</v>
      </c>
      <c r="J301" s="122">
        <v>0</v>
      </c>
      <c r="K301" s="122">
        <v>0</v>
      </c>
      <c r="L301" s="122">
        <v>0</v>
      </c>
      <c r="M301" s="123">
        <v>18.25</v>
      </c>
      <c r="N301" s="123">
        <v>23.66</v>
      </c>
      <c r="O301" s="124">
        <f t="shared" si="4"/>
        <v>237.25</v>
      </c>
      <c r="P301" s="43" t="s">
        <v>1372</v>
      </c>
    </row>
    <row r="302" spans="1:16" x14ac:dyDescent="0.3">
      <c r="A302" s="16">
        <v>108</v>
      </c>
      <c r="B302" s="29" t="s">
        <v>512</v>
      </c>
      <c r="C302" s="29">
        <v>75214930</v>
      </c>
      <c r="D302" s="29" t="s">
        <v>469</v>
      </c>
      <c r="E302" s="43" t="s">
        <v>470</v>
      </c>
      <c r="F302" s="29" t="s">
        <v>129</v>
      </c>
      <c r="G302" s="122">
        <v>12</v>
      </c>
      <c r="H302" s="122">
        <v>1</v>
      </c>
      <c r="I302" s="123">
        <v>61.61</v>
      </c>
      <c r="J302" s="122">
        <v>0</v>
      </c>
      <c r="K302" s="122">
        <v>0</v>
      </c>
      <c r="L302" s="122">
        <v>0</v>
      </c>
      <c r="M302" s="123">
        <v>45.54</v>
      </c>
      <c r="N302" s="123">
        <v>61.61</v>
      </c>
      <c r="O302" s="124">
        <f t="shared" si="4"/>
        <v>546.48</v>
      </c>
      <c r="P302" s="43" t="s">
        <v>1372</v>
      </c>
    </row>
    <row r="303" spans="1:16" x14ac:dyDescent="0.3">
      <c r="A303" s="16">
        <v>727</v>
      </c>
      <c r="B303" s="29" t="s">
        <v>518</v>
      </c>
      <c r="C303" s="29">
        <v>75437610</v>
      </c>
      <c r="D303" s="29" t="s">
        <v>472</v>
      </c>
      <c r="E303" s="43" t="s">
        <v>470</v>
      </c>
      <c r="F303" s="29" t="s">
        <v>129</v>
      </c>
      <c r="G303" s="122">
        <v>12</v>
      </c>
      <c r="H303" s="122">
        <v>2</v>
      </c>
      <c r="I303" s="123">
        <v>132.68</v>
      </c>
      <c r="J303" s="122">
        <v>0</v>
      </c>
      <c r="K303" s="122">
        <v>0</v>
      </c>
      <c r="L303" s="122">
        <v>0</v>
      </c>
      <c r="M303" s="123">
        <v>51</v>
      </c>
      <c r="N303" s="123">
        <v>66.069999999999993</v>
      </c>
      <c r="O303" s="124">
        <f t="shared" si="4"/>
        <v>612</v>
      </c>
      <c r="P303" s="43" t="s">
        <v>1372</v>
      </c>
    </row>
    <row r="304" spans="1:16" x14ac:dyDescent="0.3">
      <c r="A304" s="16">
        <v>23</v>
      </c>
      <c r="B304" s="29" t="s">
        <v>521</v>
      </c>
      <c r="C304" s="29">
        <v>75437614</v>
      </c>
      <c r="D304" s="29" t="s">
        <v>475</v>
      </c>
      <c r="E304" s="43" t="s">
        <v>470</v>
      </c>
      <c r="F304" s="29" t="s">
        <v>129</v>
      </c>
      <c r="G304" s="122">
        <v>12</v>
      </c>
      <c r="H304" s="122">
        <v>3</v>
      </c>
      <c r="I304" s="123">
        <v>85.98</v>
      </c>
      <c r="J304" s="122">
        <v>0</v>
      </c>
      <c r="K304" s="122">
        <v>0</v>
      </c>
      <c r="L304" s="122">
        <v>0</v>
      </c>
      <c r="M304" s="123">
        <v>22</v>
      </c>
      <c r="N304" s="123">
        <v>28.57</v>
      </c>
      <c r="O304" s="124">
        <f t="shared" si="4"/>
        <v>264</v>
      </c>
      <c r="P304" s="43" t="s">
        <v>1372</v>
      </c>
    </row>
    <row r="305" spans="1:16" x14ac:dyDescent="0.3">
      <c r="A305" s="16">
        <v>4414</v>
      </c>
      <c r="B305" s="29" t="s">
        <v>525</v>
      </c>
      <c r="C305" s="29">
        <v>75437623</v>
      </c>
      <c r="D305" s="29" t="s">
        <v>474</v>
      </c>
      <c r="E305" s="43" t="s">
        <v>470</v>
      </c>
      <c r="F305" s="29" t="s">
        <v>129</v>
      </c>
      <c r="G305" s="122">
        <v>12</v>
      </c>
      <c r="H305" s="122">
        <v>6</v>
      </c>
      <c r="I305" s="123">
        <v>256.62</v>
      </c>
      <c r="J305" s="122">
        <v>0</v>
      </c>
      <c r="K305" s="122">
        <v>0</v>
      </c>
      <c r="L305" s="122">
        <v>0</v>
      </c>
      <c r="M305" s="123">
        <v>32.85</v>
      </c>
      <c r="N305" s="123">
        <v>42.63</v>
      </c>
      <c r="O305" s="124">
        <f t="shared" si="4"/>
        <v>394.20000000000005</v>
      </c>
      <c r="P305" s="43" t="s">
        <v>1372</v>
      </c>
    </row>
    <row r="306" spans="1:16" x14ac:dyDescent="0.3">
      <c r="A306" s="16">
        <v>4490</v>
      </c>
      <c r="B306" s="29" t="s">
        <v>537</v>
      </c>
      <c r="C306" s="29">
        <v>75214930</v>
      </c>
      <c r="D306" s="29" t="s">
        <v>469</v>
      </c>
      <c r="E306" s="43" t="s">
        <v>470</v>
      </c>
      <c r="F306" s="29" t="s">
        <v>129</v>
      </c>
      <c r="G306" s="122">
        <v>11</v>
      </c>
      <c r="H306" s="122">
        <v>1</v>
      </c>
      <c r="I306" s="123">
        <v>61.61</v>
      </c>
      <c r="J306" s="122">
        <v>0</v>
      </c>
      <c r="K306" s="122">
        <v>0</v>
      </c>
      <c r="L306" s="122">
        <v>0</v>
      </c>
      <c r="M306" s="123">
        <v>45.54</v>
      </c>
      <c r="N306" s="123">
        <v>61.61</v>
      </c>
      <c r="O306" s="124">
        <f t="shared" si="4"/>
        <v>500.94</v>
      </c>
      <c r="P306" s="43" t="s">
        <v>1372</v>
      </c>
    </row>
    <row r="307" spans="1:16" x14ac:dyDescent="0.3">
      <c r="A307" s="16">
        <v>4491</v>
      </c>
      <c r="B307" s="29" t="s">
        <v>559</v>
      </c>
      <c r="C307" s="29">
        <v>75437614</v>
      </c>
      <c r="D307" s="29" t="s">
        <v>475</v>
      </c>
      <c r="E307" s="43" t="s">
        <v>470</v>
      </c>
      <c r="F307" s="29" t="s">
        <v>129</v>
      </c>
      <c r="G307" s="122">
        <v>11</v>
      </c>
      <c r="H307" s="122">
        <v>1</v>
      </c>
      <c r="I307" s="123">
        <v>28.66</v>
      </c>
      <c r="J307" s="122">
        <v>0</v>
      </c>
      <c r="K307" s="122">
        <v>0</v>
      </c>
      <c r="L307" s="122">
        <v>0</v>
      </c>
      <c r="M307" s="123">
        <v>22</v>
      </c>
      <c r="N307" s="123">
        <v>28.57</v>
      </c>
      <c r="O307" s="124">
        <f t="shared" si="4"/>
        <v>242</v>
      </c>
      <c r="P307" s="43" t="s">
        <v>1372</v>
      </c>
    </row>
    <row r="308" spans="1:16" x14ac:dyDescent="0.3">
      <c r="A308" s="16">
        <v>24</v>
      </c>
      <c r="B308" s="29" t="s">
        <v>543</v>
      </c>
      <c r="C308" s="29">
        <v>75437621</v>
      </c>
      <c r="D308" s="29" t="s">
        <v>471</v>
      </c>
      <c r="E308" s="43" t="s">
        <v>470</v>
      </c>
      <c r="F308" s="29" t="s">
        <v>129</v>
      </c>
      <c r="G308" s="122">
        <v>11</v>
      </c>
      <c r="H308" s="122">
        <v>5</v>
      </c>
      <c r="I308" s="123">
        <v>119.2</v>
      </c>
      <c r="J308" s="122">
        <v>0</v>
      </c>
      <c r="K308" s="122">
        <v>0</v>
      </c>
      <c r="L308" s="122">
        <v>0</v>
      </c>
      <c r="M308" s="123">
        <v>18.25</v>
      </c>
      <c r="N308" s="123">
        <v>23.66</v>
      </c>
      <c r="O308" s="124">
        <f t="shared" si="4"/>
        <v>200.75</v>
      </c>
      <c r="P308" s="43" t="s">
        <v>1372</v>
      </c>
    </row>
    <row r="309" spans="1:16" x14ac:dyDescent="0.3">
      <c r="A309" s="16">
        <v>4317</v>
      </c>
      <c r="B309" s="29" t="s">
        <v>540</v>
      </c>
      <c r="C309" s="29">
        <v>75437623</v>
      </c>
      <c r="D309" s="29" t="s">
        <v>474</v>
      </c>
      <c r="E309" s="43" t="s">
        <v>470</v>
      </c>
      <c r="F309" s="29" t="s">
        <v>129</v>
      </c>
      <c r="G309" s="122">
        <v>11</v>
      </c>
      <c r="H309" s="122">
        <v>1</v>
      </c>
      <c r="I309" s="123">
        <v>42.77</v>
      </c>
      <c r="J309" s="122">
        <v>0</v>
      </c>
      <c r="K309" s="122">
        <v>0</v>
      </c>
      <c r="L309" s="122">
        <v>0</v>
      </c>
      <c r="M309" s="123">
        <v>32.85</v>
      </c>
      <c r="N309" s="123">
        <v>42.63</v>
      </c>
      <c r="O309" s="124">
        <f t="shared" si="4"/>
        <v>361.35</v>
      </c>
      <c r="P309" s="43" t="s">
        <v>1372</v>
      </c>
    </row>
    <row r="310" spans="1:16" x14ac:dyDescent="0.3">
      <c r="A310" s="16">
        <v>491</v>
      </c>
      <c r="B310" s="29" t="s">
        <v>514</v>
      </c>
      <c r="C310" s="29">
        <v>75214930</v>
      </c>
      <c r="D310" s="29" t="s">
        <v>469</v>
      </c>
      <c r="E310" s="43" t="s">
        <v>470</v>
      </c>
      <c r="F310" s="29" t="s">
        <v>129</v>
      </c>
      <c r="G310" s="122">
        <v>9</v>
      </c>
      <c r="H310" s="122">
        <v>3</v>
      </c>
      <c r="I310" s="123">
        <v>184.83</v>
      </c>
      <c r="J310" s="122">
        <v>0</v>
      </c>
      <c r="K310" s="122">
        <v>0</v>
      </c>
      <c r="L310" s="122">
        <v>0</v>
      </c>
      <c r="M310" s="123">
        <v>45.54</v>
      </c>
      <c r="N310" s="123">
        <v>61.61</v>
      </c>
      <c r="O310" s="124">
        <f t="shared" si="4"/>
        <v>409.86</v>
      </c>
      <c r="P310" s="43" t="s">
        <v>1372</v>
      </c>
    </row>
    <row r="311" spans="1:16" x14ac:dyDescent="0.3">
      <c r="A311" s="16">
        <v>108</v>
      </c>
      <c r="B311" s="29" t="s">
        <v>512</v>
      </c>
      <c r="C311" s="29">
        <v>75437623</v>
      </c>
      <c r="D311" s="29" t="s">
        <v>474</v>
      </c>
      <c r="E311" s="43" t="s">
        <v>470</v>
      </c>
      <c r="F311" s="29" t="s">
        <v>129</v>
      </c>
      <c r="G311" s="122">
        <v>8</v>
      </c>
      <c r="H311" s="122">
        <v>3</v>
      </c>
      <c r="I311" s="123">
        <v>96.35</v>
      </c>
      <c r="J311" s="122">
        <v>0</v>
      </c>
      <c r="K311" s="122">
        <v>0</v>
      </c>
      <c r="L311" s="122">
        <v>0</v>
      </c>
      <c r="M311" s="123">
        <v>32.85</v>
      </c>
      <c r="N311" s="123">
        <v>42.63</v>
      </c>
      <c r="O311" s="124">
        <f t="shared" si="4"/>
        <v>262.8</v>
      </c>
      <c r="P311" s="43" t="s">
        <v>1372</v>
      </c>
    </row>
    <row r="312" spans="1:16" x14ac:dyDescent="0.3">
      <c r="A312" s="16">
        <v>47</v>
      </c>
      <c r="B312" s="29" t="s">
        <v>516</v>
      </c>
      <c r="C312" s="29">
        <v>75437621</v>
      </c>
      <c r="D312" s="29" t="s">
        <v>471</v>
      </c>
      <c r="E312" s="43" t="s">
        <v>470</v>
      </c>
      <c r="F312" s="29" t="s">
        <v>129</v>
      </c>
      <c r="G312" s="122">
        <v>7</v>
      </c>
      <c r="H312" s="122">
        <v>4</v>
      </c>
      <c r="I312" s="123">
        <v>95.36</v>
      </c>
      <c r="J312" s="122">
        <v>0</v>
      </c>
      <c r="K312" s="122">
        <v>0</v>
      </c>
      <c r="L312" s="122">
        <v>0</v>
      </c>
      <c r="M312" s="123">
        <v>18.25</v>
      </c>
      <c r="N312" s="123">
        <v>23.66</v>
      </c>
      <c r="O312" s="124">
        <f t="shared" si="4"/>
        <v>127.75</v>
      </c>
      <c r="P312" s="43" t="s">
        <v>1372</v>
      </c>
    </row>
    <row r="313" spans="1:16" x14ac:dyDescent="0.3">
      <c r="A313" s="16">
        <v>727</v>
      </c>
      <c r="B313" s="29" t="s">
        <v>518</v>
      </c>
      <c r="C313" s="29">
        <v>75437621</v>
      </c>
      <c r="D313" s="29" t="s">
        <v>471</v>
      </c>
      <c r="E313" s="43" t="s">
        <v>470</v>
      </c>
      <c r="F313" s="29" t="s">
        <v>129</v>
      </c>
      <c r="G313" s="122">
        <v>6</v>
      </c>
      <c r="H313" s="122">
        <v>2</v>
      </c>
      <c r="I313" s="123">
        <v>47.68</v>
      </c>
      <c r="J313" s="122">
        <v>0</v>
      </c>
      <c r="K313" s="122">
        <v>0</v>
      </c>
      <c r="L313" s="122">
        <v>0</v>
      </c>
      <c r="M313" s="123">
        <v>18.25</v>
      </c>
      <c r="N313" s="123">
        <v>23.66</v>
      </c>
      <c r="O313" s="124">
        <f t="shared" si="4"/>
        <v>109.5</v>
      </c>
      <c r="P313" s="43" t="s">
        <v>1372</v>
      </c>
    </row>
    <row r="314" spans="1:16" x14ac:dyDescent="0.3">
      <c r="A314" s="16">
        <v>23</v>
      </c>
      <c r="B314" s="29" t="s">
        <v>521</v>
      </c>
      <c r="C314" s="29">
        <v>75437621</v>
      </c>
      <c r="D314" s="29" t="s">
        <v>471</v>
      </c>
      <c r="E314" s="43" t="s">
        <v>470</v>
      </c>
      <c r="F314" s="29" t="s">
        <v>129</v>
      </c>
      <c r="G314" s="122">
        <v>4</v>
      </c>
      <c r="H314" s="122">
        <v>1</v>
      </c>
      <c r="I314" s="123">
        <v>23.84</v>
      </c>
      <c r="J314" s="122">
        <v>0</v>
      </c>
      <c r="K314" s="122">
        <v>0</v>
      </c>
      <c r="L314" s="122">
        <v>0</v>
      </c>
      <c r="M314" s="123">
        <v>18.25</v>
      </c>
      <c r="N314" s="123">
        <v>23.66</v>
      </c>
      <c r="O314" s="124">
        <f t="shared" si="4"/>
        <v>73</v>
      </c>
      <c r="P314" s="43" t="s">
        <v>1372</v>
      </c>
    </row>
    <row r="315" spans="1:16" x14ac:dyDescent="0.3">
      <c r="A315" s="16">
        <v>4126</v>
      </c>
      <c r="B315" s="29" t="s">
        <v>547</v>
      </c>
      <c r="C315" s="29">
        <v>75437614</v>
      </c>
      <c r="D315" s="29" t="s">
        <v>475</v>
      </c>
      <c r="E315" s="43" t="s">
        <v>470</v>
      </c>
      <c r="F315" s="29" t="s">
        <v>129</v>
      </c>
      <c r="G315" s="122">
        <v>3</v>
      </c>
      <c r="H315" s="122">
        <v>1</v>
      </c>
      <c r="I315" s="123">
        <v>28.66</v>
      </c>
      <c r="J315" s="122">
        <v>0</v>
      </c>
      <c r="K315" s="122">
        <v>0</v>
      </c>
      <c r="L315" s="122">
        <v>0</v>
      </c>
      <c r="M315" s="123">
        <v>22</v>
      </c>
      <c r="N315" s="123">
        <v>28.57</v>
      </c>
      <c r="O315" s="124">
        <f t="shared" si="4"/>
        <v>66</v>
      </c>
      <c r="P315" s="43" t="s">
        <v>1372</v>
      </c>
    </row>
    <row r="316" spans="1:16" x14ac:dyDescent="0.3">
      <c r="A316" s="16">
        <v>23</v>
      </c>
      <c r="B316" s="29" t="s">
        <v>521</v>
      </c>
      <c r="C316" s="29">
        <v>75437623</v>
      </c>
      <c r="D316" s="29" t="s">
        <v>474</v>
      </c>
      <c r="E316" s="43" t="s">
        <v>470</v>
      </c>
      <c r="F316" s="29" t="s">
        <v>129</v>
      </c>
      <c r="G316" s="122">
        <v>2</v>
      </c>
      <c r="H316" s="122">
        <v>5</v>
      </c>
      <c r="I316" s="123">
        <v>190.81</v>
      </c>
      <c r="J316" s="122">
        <v>0</v>
      </c>
      <c r="K316" s="122">
        <v>0</v>
      </c>
      <c r="L316" s="122">
        <v>0</v>
      </c>
      <c r="M316" s="123">
        <v>32.85</v>
      </c>
      <c r="N316" s="123">
        <v>42.63</v>
      </c>
      <c r="O316" s="124">
        <f t="shared" si="4"/>
        <v>65.7</v>
      </c>
      <c r="P316" s="43" t="s">
        <v>1372</v>
      </c>
    </row>
    <row r="317" spans="1:16" x14ac:dyDescent="0.3">
      <c r="A317" s="16">
        <v>108</v>
      </c>
      <c r="B317" s="29" t="s">
        <v>512</v>
      </c>
      <c r="C317" s="29">
        <v>75437614</v>
      </c>
      <c r="D317" s="29" t="s">
        <v>475</v>
      </c>
      <c r="E317" s="43" t="s">
        <v>470</v>
      </c>
      <c r="F317" s="29" t="s">
        <v>129</v>
      </c>
      <c r="G317" s="122">
        <v>1</v>
      </c>
      <c r="H317" s="122">
        <v>2</v>
      </c>
      <c r="I317" s="123">
        <v>57.32</v>
      </c>
      <c r="J317" s="122">
        <v>0</v>
      </c>
      <c r="K317" s="122">
        <v>0</v>
      </c>
      <c r="L317" s="122">
        <v>0</v>
      </c>
      <c r="M317" s="123">
        <v>22</v>
      </c>
      <c r="N317" s="123">
        <v>28.57</v>
      </c>
      <c r="O317" s="124">
        <f t="shared" si="4"/>
        <v>22</v>
      </c>
      <c r="P317" s="43" t="s">
        <v>1372</v>
      </c>
    </row>
    <row r="318" spans="1:16" x14ac:dyDescent="0.3">
      <c r="A318" s="16">
        <v>458</v>
      </c>
      <c r="B318" s="29" t="s">
        <v>548</v>
      </c>
      <c r="C318" s="29">
        <v>75437621</v>
      </c>
      <c r="D318" s="29" t="s">
        <v>471</v>
      </c>
      <c r="E318" s="43" t="s">
        <v>470</v>
      </c>
      <c r="F318" s="29" t="s">
        <v>129</v>
      </c>
      <c r="G318" s="122">
        <v>1</v>
      </c>
      <c r="H318" s="122">
        <v>2</v>
      </c>
      <c r="I318" s="123">
        <v>47.68</v>
      </c>
      <c r="J318" s="122">
        <v>0</v>
      </c>
      <c r="K318" s="122">
        <v>0</v>
      </c>
      <c r="L318" s="122">
        <v>0</v>
      </c>
      <c r="M318" s="123">
        <v>18.25</v>
      </c>
      <c r="N318" s="123">
        <v>23.66</v>
      </c>
      <c r="O318" s="124">
        <f t="shared" si="4"/>
        <v>18.25</v>
      </c>
      <c r="P318" s="43" t="s">
        <v>1372</v>
      </c>
    </row>
    <row r="319" spans="1:16" x14ac:dyDescent="0.3">
      <c r="A319" s="16">
        <v>23</v>
      </c>
      <c r="B319" s="29" t="s">
        <v>521</v>
      </c>
      <c r="C319" s="29">
        <v>75214930</v>
      </c>
      <c r="D319" s="29" t="s">
        <v>469</v>
      </c>
      <c r="E319" s="43" t="s">
        <v>470</v>
      </c>
      <c r="F319" s="29" t="s">
        <v>129</v>
      </c>
      <c r="G319" s="122">
        <v>0</v>
      </c>
      <c r="H319" s="122">
        <v>0</v>
      </c>
      <c r="I319" s="123">
        <v>0</v>
      </c>
      <c r="J319" s="122">
        <v>0</v>
      </c>
      <c r="K319" s="122">
        <v>0</v>
      </c>
      <c r="L319" s="122">
        <v>0</v>
      </c>
      <c r="M319" s="123">
        <v>45.54</v>
      </c>
      <c r="N319" s="123">
        <v>61.61</v>
      </c>
      <c r="O319" s="124">
        <f t="shared" si="4"/>
        <v>0</v>
      </c>
      <c r="P319" s="45" t="s">
        <v>1374</v>
      </c>
    </row>
    <row r="320" spans="1:16" x14ac:dyDescent="0.3">
      <c r="A320" s="16">
        <v>460</v>
      </c>
      <c r="B320" s="29" t="s">
        <v>546</v>
      </c>
      <c r="C320" s="29">
        <v>75214930</v>
      </c>
      <c r="D320" s="29" t="s">
        <v>469</v>
      </c>
      <c r="E320" s="43" t="s">
        <v>470</v>
      </c>
      <c r="F320" s="29" t="s">
        <v>129</v>
      </c>
      <c r="G320" s="122">
        <v>0</v>
      </c>
      <c r="H320" s="122">
        <v>0</v>
      </c>
      <c r="I320" s="123">
        <v>0</v>
      </c>
      <c r="J320" s="122">
        <v>12</v>
      </c>
      <c r="K320" s="122">
        <v>0</v>
      </c>
      <c r="L320" s="122">
        <v>0</v>
      </c>
      <c r="M320" s="123">
        <v>45.54</v>
      </c>
      <c r="N320" s="123">
        <v>61.61</v>
      </c>
      <c r="O320" s="124">
        <f t="shared" si="4"/>
        <v>0</v>
      </c>
      <c r="P320" s="45" t="s">
        <v>1374</v>
      </c>
    </row>
    <row r="321" spans="1:16" x14ac:dyDescent="0.3">
      <c r="A321" s="16">
        <v>1087</v>
      </c>
      <c r="B321" s="29" t="s">
        <v>558</v>
      </c>
      <c r="C321" s="29">
        <v>75214930</v>
      </c>
      <c r="D321" s="29" t="s">
        <v>469</v>
      </c>
      <c r="E321" s="43" t="s">
        <v>470</v>
      </c>
      <c r="F321" s="29" t="s">
        <v>129</v>
      </c>
      <c r="G321" s="122">
        <v>0</v>
      </c>
      <c r="H321" s="122">
        <v>0</v>
      </c>
      <c r="I321" s="123">
        <v>0</v>
      </c>
      <c r="J321" s="122">
        <v>0</v>
      </c>
      <c r="K321" s="122">
        <v>0</v>
      </c>
      <c r="L321" s="122">
        <v>0</v>
      </c>
      <c r="M321" s="123">
        <v>45.54</v>
      </c>
      <c r="N321" s="123">
        <v>61.61</v>
      </c>
      <c r="O321" s="124">
        <f t="shared" si="4"/>
        <v>0</v>
      </c>
      <c r="P321" s="45" t="s">
        <v>1374</v>
      </c>
    </row>
    <row r="322" spans="1:16" x14ac:dyDescent="0.3">
      <c r="A322" s="16">
        <v>4433</v>
      </c>
      <c r="B322" s="29" t="s">
        <v>520</v>
      </c>
      <c r="C322" s="29">
        <v>75214930</v>
      </c>
      <c r="D322" s="29" t="s">
        <v>469</v>
      </c>
      <c r="E322" s="43" t="s">
        <v>470</v>
      </c>
      <c r="F322" s="29" t="s">
        <v>129</v>
      </c>
      <c r="G322" s="122">
        <v>0</v>
      </c>
      <c r="H322" s="122">
        <v>0</v>
      </c>
      <c r="I322" s="123">
        <v>0</v>
      </c>
      <c r="J322" s="122">
        <v>12</v>
      </c>
      <c r="K322" s="122">
        <v>0</v>
      </c>
      <c r="L322" s="122">
        <v>0</v>
      </c>
      <c r="M322" s="123">
        <v>45.54</v>
      </c>
      <c r="N322" s="123">
        <v>61.61</v>
      </c>
      <c r="O322" s="124">
        <f t="shared" si="4"/>
        <v>0</v>
      </c>
      <c r="P322" s="45" t="s">
        <v>1374</v>
      </c>
    </row>
    <row r="323" spans="1:16" x14ac:dyDescent="0.3">
      <c r="A323" s="16">
        <v>460</v>
      </c>
      <c r="B323" s="29" t="s">
        <v>546</v>
      </c>
      <c r="C323" s="29">
        <v>75437610</v>
      </c>
      <c r="D323" s="29" t="s">
        <v>472</v>
      </c>
      <c r="E323" s="43" t="s">
        <v>470</v>
      </c>
      <c r="F323" s="29" t="s">
        <v>129</v>
      </c>
      <c r="G323" s="122">
        <v>0</v>
      </c>
      <c r="H323" s="122">
        <v>0</v>
      </c>
      <c r="I323" s="123">
        <v>0</v>
      </c>
      <c r="J323" s="122">
        <v>20</v>
      </c>
      <c r="K323" s="122">
        <v>0</v>
      </c>
      <c r="L323" s="122">
        <v>0</v>
      </c>
      <c r="M323" s="123">
        <v>51</v>
      </c>
      <c r="N323" s="123">
        <v>66.069999999999993</v>
      </c>
      <c r="O323" s="124">
        <f t="shared" si="4"/>
        <v>0</v>
      </c>
      <c r="P323" s="45" t="s">
        <v>1374</v>
      </c>
    </row>
    <row r="324" spans="1:16" x14ac:dyDescent="0.3">
      <c r="A324" s="16">
        <v>1087</v>
      </c>
      <c r="B324" s="29" t="s">
        <v>558</v>
      </c>
      <c r="C324" s="29">
        <v>75437610</v>
      </c>
      <c r="D324" s="29" t="s">
        <v>472</v>
      </c>
      <c r="E324" s="43" t="s">
        <v>470</v>
      </c>
      <c r="F324" s="29" t="s">
        <v>129</v>
      </c>
      <c r="G324" s="122">
        <v>0</v>
      </c>
      <c r="H324" s="122">
        <v>0</v>
      </c>
      <c r="I324" s="123">
        <v>0</v>
      </c>
      <c r="J324" s="122">
        <v>0</v>
      </c>
      <c r="K324" s="122">
        <v>0</v>
      </c>
      <c r="L324" s="122">
        <v>0</v>
      </c>
      <c r="M324" s="123">
        <v>51</v>
      </c>
      <c r="N324" s="123">
        <v>66.069999999999993</v>
      </c>
      <c r="O324" s="124">
        <f t="shared" ref="O324:O387" si="5">G324*M324</f>
        <v>0</v>
      </c>
      <c r="P324" s="45" t="s">
        <v>1374</v>
      </c>
    </row>
    <row r="325" spans="1:16" x14ac:dyDescent="0.3">
      <c r="A325" s="16">
        <v>4370</v>
      </c>
      <c r="B325" s="29" t="s">
        <v>542</v>
      </c>
      <c r="C325" s="29">
        <v>75437610</v>
      </c>
      <c r="D325" s="29" t="s">
        <v>472</v>
      </c>
      <c r="E325" s="43" t="s">
        <v>470</v>
      </c>
      <c r="F325" s="29" t="s">
        <v>129</v>
      </c>
      <c r="G325" s="122">
        <v>0</v>
      </c>
      <c r="H325" s="122">
        <v>0</v>
      </c>
      <c r="I325" s="123">
        <v>0</v>
      </c>
      <c r="J325" s="122">
        <v>0</v>
      </c>
      <c r="K325" s="122">
        <v>0</v>
      </c>
      <c r="L325" s="122">
        <v>0</v>
      </c>
      <c r="M325" s="123">
        <v>51</v>
      </c>
      <c r="N325" s="123">
        <v>66.069999999999993</v>
      </c>
      <c r="O325" s="124">
        <f t="shared" si="5"/>
        <v>0</v>
      </c>
      <c r="P325" s="45" t="s">
        <v>1374</v>
      </c>
    </row>
    <row r="326" spans="1:16" x14ac:dyDescent="0.3">
      <c r="A326" s="16">
        <v>1087</v>
      </c>
      <c r="B326" s="29" t="s">
        <v>558</v>
      </c>
      <c r="C326" s="29">
        <v>75437614</v>
      </c>
      <c r="D326" s="29" t="s">
        <v>475</v>
      </c>
      <c r="E326" s="43" t="s">
        <v>470</v>
      </c>
      <c r="F326" s="29" t="s">
        <v>129</v>
      </c>
      <c r="G326" s="122">
        <v>0</v>
      </c>
      <c r="H326" s="122">
        <v>0</v>
      </c>
      <c r="I326" s="123">
        <v>0</v>
      </c>
      <c r="J326" s="122">
        <v>0</v>
      </c>
      <c r="K326" s="122">
        <v>0</v>
      </c>
      <c r="L326" s="122">
        <v>0</v>
      </c>
      <c r="M326" s="123">
        <v>22</v>
      </c>
      <c r="N326" s="123">
        <v>28.57</v>
      </c>
      <c r="O326" s="124">
        <f t="shared" si="5"/>
        <v>0</v>
      </c>
      <c r="P326" s="45" t="s">
        <v>1374</v>
      </c>
    </row>
    <row r="327" spans="1:16" x14ac:dyDescent="0.3">
      <c r="A327" s="16">
        <v>4037</v>
      </c>
      <c r="B327" s="29" t="s">
        <v>517</v>
      </c>
      <c r="C327" s="29">
        <v>75437614</v>
      </c>
      <c r="D327" s="29" t="s">
        <v>475</v>
      </c>
      <c r="E327" s="43" t="s">
        <v>470</v>
      </c>
      <c r="F327" s="29" t="s">
        <v>129</v>
      </c>
      <c r="G327" s="122">
        <v>0</v>
      </c>
      <c r="H327" s="122">
        <v>0</v>
      </c>
      <c r="I327" s="123">
        <v>0</v>
      </c>
      <c r="J327" s="122">
        <v>0</v>
      </c>
      <c r="K327" s="122">
        <v>0</v>
      </c>
      <c r="L327" s="122">
        <v>0</v>
      </c>
      <c r="M327" s="123">
        <v>22</v>
      </c>
      <c r="N327" s="123">
        <v>28.57</v>
      </c>
      <c r="O327" s="124">
        <f t="shared" si="5"/>
        <v>0</v>
      </c>
      <c r="P327" s="45" t="s">
        <v>1374</v>
      </c>
    </row>
    <row r="328" spans="1:16" x14ac:dyDescent="0.3">
      <c r="A328" s="16">
        <v>1087</v>
      </c>
      <c r="B328" s="29" t="s">
        <v>558</v>
      </c>
      <c r="C328" s="29">
        <v>75437616</v>
      </c>
      <c r="D328" s="29" t="s">
        <v>473</v>
      </c>
      <c r="E328" s="43" t="s">
        <v>470</v>
      </c>
      <c r="F328" s="29" t="s">
        <v>129</v>
      </c>
      <c r="G328" s="122">
        <v>0</v>
      </c>
      <c r="H328" s="122">
        <v>0</v>
      </c>
      <c r="I328" s="123">
        <v>0</v>
      </c>
      <c r="J328" s="122">
        <v>0</v>
      </c>
      <c r="K328" s="122">
        <v>0</v>
      </c>
      <c r="L328" s="122">
        <v>0</v>
      </c>
      <c r="M328" s="123">
        <v>22</v>
      </c>
      <c r="N328" s="123">
        <v>28.57</v>
      </c>
      <c r="O328" s="124">
        <f t="shared" si="5"/>
        <v>0</v>
      </c>
      <c r="P328" s="45" t="s">
        <v>1374</v>
      </c>
    </row>
    <row r="329" spans="1:16" x14ac:dyDescent="0.3">
      <c r="A329" s="16">
        <v>180</v>
      </c>
      <c r="B329" s="29" t="s">
        <v>528</v>
      </c>
      <c r="C329" s="29">
        <v>75437621</v>
      </c>
      <c r="D329" s="29" t="s">
        <v>471</v>
      </c>
      <c r="E329" s="43" t="s">
        <v>470</v>
      </c>
      <c r="F329" s="29" t="s">
        <v>129</v>
      </c>
      <c r="G329" s="122">
        <v>0</v>
      </c>
      <c r="H329" s="122">
        <v>0</v>
      </c>
      <c r="I329" s="123">
        <v>0</v>
      </c>
      <c r="J329" s="122">
        <v>0</v>
      </c>
      <c r="K329" s="122">
        <v>20</v>
      </c>
      <c r="L329" s="122">
        <v>0</v>
      </c>
      <c r="M329" s="123">
        <v>18.25</v>
      </c>
      <c r="N329" s="123">
        <v>23.66</v>
      </c>
      <c r="O329" s="124">
        <f t="shared" si="5"/>
        <v>0</v>
      </c>
      <c r="P329" s="45" t="s">
        <v>1374</v>
      </c>
    </row>
    <row r="330" spans="1:16" x14ac:dyDescent="0.3">
      <c r="A330" s="16">
        <v>1087</v>
      </c>
      <c r="B330" s="29" t="s">
        <v>558</v>
      </c>
      <c r="C330" s="29">
        <v>75437621</v>
      </c>
      <c r="D330" s="29" t="s">
        <v>471</v>
      </c>
      <c r="E330" s="43" t="s">
        <v>470</v>
      </c>
      <c r="F330" s="29" t="s">
        <v>129</v>
      </c>
      <c r="G330" s="122">
        <v>0</v>
      </c>
      <c r="H330" s="122">
        <v>0</v>
      </c>
      <c r="I330" s="123">
        <v>0</v>
      </c>
      <c r="J330" s="122">
        <v>0</v>
      </c>
      <c r="K330" s="122">
        <v>0</v>
      </c>
      <c r="L330" s="122">
        <v>0</v>
      </c>
      <c r="M330" s="123">
        <v>18.25</v>
      </c>
      <c r="N330" s="123">
        <v>23.66</v>
      </c>
      <c r="O330" s="124">
        <f t="shared" si="5"/>
        <v>0</v>
      </c>
      <c r="P330" s="45" t="s">
        <v>1374</v>
      </c>
    </row>
    <row r="331" spans="1:16" x14ac:dyDescent="0.3">
      <c r="A331" s="16">
        <v>4173</v>
      </c>
      <c r="B331" s="29" t="s">
        <v>539</v>
      </c>
      <c r="C331" s="29">
        <v>75437621</v>
      </c>
      <c r="D331" s="29" t="s">
        <v>471</v>
      </c>
      <c r="E331" s="43" t="s">
        <v>470</v>
      </c>
      <c r="F331" s="29" t="s">
        <v>129</v>
      </c>
      <c r="G331" s="122">
        <v>0</v>
      </c>
      <c r="H331" s="122">
        <v>0</v>
      </c>
      <c r="I331" s="123">
        <v>0</v>
      </c>
      <c r="J331" s="122">
        <v>0</v>
      </c>
      <c r="K331" s="122">
        <v>0</v>
      </c>
      <c r="L331" s="122">
        <v>0</v>
      </c>
      <c r="M331" s="123">
        <v>18.25</v>
      </c>
      <c r="N331" s="123">
        <v>23.66</v>
      </c>
      <c r="O331" s="124">
        <f t="shared" si="5"/>
        <v>0</v>
      </c>
      <c r="P331" s="45" t="s">
        <v>1374</v>
      </c>
    </row>
    <row r="332" spans="1:16" x14ac:dyDescent="0.3">
      <c r="A332" s="16">
        <v>47</v>
      </c>
      <c r="B332" s="29" t="s">
        <v>516</v>
      </c>
      <c r="C332" s="29">
        <v>75437623</v>
      </c>
      <c r="D332" s="29" t="s">
        <v>474</v>
      </c>
      <c r="E332" s="43" t="s">
        <v>470</v>
      </c>
      <c r="F332" s="29" t="s">
        <v>129</v>
      </c>
      <c r="G332" s="122">
        <v>0</v>
      </c>
      <c r="H332" s="122">
        <v>0</v>
      </c>
      <c r="I332" s="123">
        <v>0</v>
      </c>
      <c r="J332" s="122">
        <v>0</v>
      </c>
      <c r="K332" s="122">
        <v>20</v>
      </c>
      <c r="L332" s="122">
        <v>0</v>
      </c>
      <c r="M332" s="123">
        <v>32.85</v>
      </c>
      <c r="N332" s="123">
        <v>42.63</v>
      </c>
      <c r="O332" s="124">
        <f t="shared" si="5"/>
        <v>0</v>
      </c>
      <c r="P332" s="45" t="s">
        <v>1374</v>
      </c>
    </row>
    <row r="333" spans="1:16" x14ac:dyDescent="0.3">
      <c r="A333" s="16">
        <v>1087</v>
      </c>
      <c r="B333" s="29" t="s">
        <v>558</v>
      </c>
      <c r="C333" s="29">
        <v>75437623</v>
      </c>
      <c r="D333" s="29" t="s">
        <v>474</v>
      </c>
      <c r="E333" s="43" t="s">
        <v>470</v>
      </c>
      <c r="F333" s="29" t="s">
        <v>129</v>
      </c>
      <c r="G333" s="122">
        <v>0</v>
      </c>
      <c r="H333" s="122">
        <v>0</v>
      </c>
      <c r="I333" s="123">
        <v>0</v>
      </c>
      <c r="J333" s="122">
        <v>0</v>
      </c>
      <c r="K333" s="122">
        <v>0</v>
      </c>
      <c r="L333" s="122">
        <v>0</v>
      </c>
      <c r="M333" s="123">
        <v>32.85</v>
      </c>
      <c r="N333" s="123">
        <v>42.63</v>
      </c>
      <c r="O333" s="124">
        <f t="shared" si="5"/>
        <v>0</v>
      </c>
      <c r="P333" s="45" t="s">
        <v>1374</v>
      </c>
    </row>
    <row r="334" spans="1:16" x14ac:dyDescent="0.3">
      <c r="A334" s="16">
        <v>180</v>
      </c>
      <c r="B334" s="29" t="s">
        <v>528</v>
      </c>
      <c r="C334" s="29">
        <v>75437615</v>
      </c>
      <c r="D334" s="29" t="s">
        <v>476</v>
      </c>
      <c r="E334" s="44" t="s">
        <v>477</v>
      </c>
      <c r="F334" s="29" t="s">
        <v>995</v>
      </c>
      <c r="G334" s="122">
        <v>38</v>
      </c>
      <c r="H334" s="122">
        <v>0</v>
      </c>
      <c r="I334" s="123">
        <v>0</v>
      </c>
      <c r="J334" s="122">
        <v>0</v>
      </c>
      <c r="K334" s="122">
        <v>0</v>
      </c>
      <c r="L334" s="122">
        <v>0</v>
      </c>
      <c r="M334" s="123">
        <v>16</v>
      </c>
      <c r="N334" s="123">
        <v>20.76</v>
      </c>
      <c r="O334" s="124">
        <f t="shared" si="5"/>
        <v>608</v>
      </c>
      <c r="P334" s="51" t="s">
        <v>1371</v>
      </c>
    </row>
    <row r="335" spans="1:16" x14ac:dyDescent="0.3">
      <c r="A335" s="16">
        <v>4037</v>
      </c>
      <c r="B335" s="29" t="s">
        <v>517</v>
      </c>
      <c r="C335" s="29">
        <v>75437618</v>
      </c>
      <c r="D335" s="29" t="s">
        <v>484</v>
      </c>
      <c r="E335" s="44" t="s">
        <v>477</v>
      </c>
      <c r="F335" s="29" t="s">
        <v>996</v>
      </c>
      <c r="G335" s="122">
        <v>33</v>
      </c>
      <c r="H335" s="122">
        <v>0</v>
      </c>
      <c r="I335" s="123">
        <v>0</v>
      </c>
      <c r="J335" s="122">
        <v>0</v>
      </c>
      <c r="K335" s="122">
        <v>0</v>
      </c>
      <c r="L335" s="122">
        <v>0</v>
      </c>
      <c r="M335" s="123">
        <v>18.25</v>
      </c>
      <c r="N335" s="123">
        <v>23.66</v>
      </c>
      <c r="O335" s="124">
        <f t="shared" si="5"/>
        <v>602.25</v>
      </c>
      <c r="P335" s="51" t="s">
        <v>1371</v>
      </c>
    </row>
    <row r="336" spans="1:16" x14ac:dyDescent="0.3">
      <c r="A336" s="16">
        <v>21</v>
      </c>
      <c r="B336" s="29" t="s">
        <v>550</v>
      </c>
      <c r="C336" s="29">
        <v>75437612</v>
      </c>
      <c r="D336" s="29" t="s">
        <v>481</v>
      </c>
      <c r="E336" s="44" t="s">
        <v>477</v>
      </c>
      <c r="F336" s="29" t="s">
        <v>996</v>
      </c>
      <c r="G336" s="122">
        <v>20</v>
      </c>
      <c r="H336" s="122">
        <v>0</v>
      </c>
      <c r="I336" s="123">
        <v>0</v>
      </c>
      <c r="J336" s="122">
        <v>0</v>
      </c>
      <c r="K336" s="122">
        <v>0</v>
      </c>
      <c r="L336" s="122">
        <v>0</v>
      </c>
      <c r="M336" s="123">
        <v>43.8</v>
      </c>
      <c r="N336" s="123">
        <v>56.7</v>
      </c>
      <c r="O336" s="124">
        <f t="shared" si="5"/>
        <v>876</v>
      </c>
      <c r="P336" s="51" t="s">
        <v>1371</v>
      </c>
    </row>
    <row r="337" spans="1:16" x14ac:dyDescent="0.3">
      <c r="A337" s="16">
        <v>24</v>
      </c>
      <c r="B337" s="29" t="s">
        <v>543</v>
      </c>
      <c r="C337" s="29">
        <v>75437612</v>
      </c>
      <c r="D337" s="29" t="s">
        <v>481</v>
      </c>
      <c r="E337" s="44" t="s">
        <v>477</v>
      </c>
      <c r="F337" s="29" t="s">
        <v>996</v>
      </c>
      <c r="G337" s="122">
        <v>20</v>
      </c>
      <c r="H337" s="122">
        <v>0</v>
      </c>
      <c r="I337" s="123">
        <v>0</v>
      </c>
      <c r="J337" s="122">
        <v>0</v>
      </c>
      <c r="K337" s="122">
        <v>0</v>
      </c>
      <c r="L337" s="122">
        <v>0</v>
      </c>
      <c r="M337" s="123">
        <v>43.8</v>
      </c>
      <c r="N337" s="123">
        <v>56.7</v>
      </c>
      <c r="O337" s="124">
        <f t="shared" si="5"/>
        <v>876</v>
      </c>
      <c r="P337" s="51" t="s">
        <v>1371</v>
      </c>
    </row>
    <row r="338" spans="1:16" x14ac:dyDescent="0.3">
      <c r="A338" s="16">
        <v>35</v>
      </c>
      <c r="B338" s="29" t="s">
        <v>549</v>
      </c>
      <c r="C338" s="29">
        <v>75437612</v>
      </c>
      <c r="D338" s="29" t="s">
        <v>481</v>
      </c>
      <c r="E338" s="44" t="s">
        <v>477</v>
      </c>
      <c r="F338" s="29" t="s">
        <v>996</v>
      </c>
      <c r="G338" s="122">
        <v>20</v>
      </c>
      <c r="H338" s="122">
        <v>0</v>
      </c>
      <c r="I338" s="123">
        <v>0</v>
      </c>
      <c r="J338" s="122">
        <v>0</v>
      </c>
      <c r="K338" s="122">
        <v>0</v>
      </c>
      <c r="L338" s="122">
        <v>0</v>
      </c>
      <c r="M338" s="123">
        <v>43.8</v>
      </c>
      <c r="N338" s="123">
        <v>56.7</v>
      </c>
      <c r="O338" s="124">
        <f t="shared" si="5"/>
        <v>876</v>
      </c>
      <c r="P338" s="51" t="s">
        <v>1371</v>
      </c>
    </row>
    <row r="339" spans="1:16" x14ac:dyDescent="0.3">
      <c r="A339" s="16">
        <v>180</v>
      </c>
      <c r="B339" s="29" t="s">
        <v>528</v>
      </c>
      <c r="C339" s="29">
        <v>75437612</v>
      </c>
      <c r="D339" s="29" t="s">
        <v>481</v>
      </c>
      <c r="E339" s="44" t="s">
        <v>477</v>
      </c>
      <c r="F339" s="29" t="s">
        <v>996</v>
      </c>
      <c r="G339" s="122">
        <v>20</v>
      </c>
      <c r="H339" s="122">
        <v>0</v>
      </c>
      <c r="I339" s="123">
        <v>0</v>
      </c>
      <c r="J339" s="122">
        <v>0</v>
      </c>
      <c r="K339" s="122">
        <v>0</v>
      </c>
      <c r="L339" s="122">
        <v>0</v>
      </c>
      <c r="M339" s="123">
        <v>43.8</v>
      </c>
      <c r="N339" s="123">
        <v>56.7</v>
      </c>
      <c r="O339" s="124">
        <f t="shared" si="5"/>
        <v>876</v>
      </c>
      <c r="P339" s="51" t="s">
        <v>1371</v>
      </c>
    </row>
    <row r="340" spans="1:16" x14ac:dyDescent="0.3">
      <c r="A340" s="16">
        <v>414</v>
      </c>
      <c r="B340" s="29" t="s">
        <v>544</v>
      </c>
      <c r="C340" s="29">
        <v>75437612</v>
      </c>
      <c r="D340" s="29" t="s">
        <v>481</v>
      </c>
      <c r="E340" s="44" t="s">
        <v>477</v>
      </c>
      <c r="F340" s="29" t="s">
        <v>996</v>
      </c>
      <c r="G340" s="122">
        <v>20</v>
      </c>
      <c r="H340" s="122">
        <v>0</v>
      </c>
      <c r="I340" s="123">
        <v>0</v>
      </c>
      <c r="J340" s="122">
        <v>0</v>
      </c>
      <c r="K340" s="122">
        <v>0</v>
      </c>
      <c r="L340" s="122">
        <v>0</v>
      </c>
      <c r="M340" s="123">
        <v>43.8</v>
      </c>
      <c r="N340" s="123">
        <v>56.7</v>
      </c>
      <c r="O340" s="124">
        <f t="shared" si="5"/>
        <v>876</v>
      </c>
      <c r="P340" s="51" t="s">
        <v>1371</v>
      </c>
    </row>
    <row r="341" spans="1:16" x14ac:dyDescent="0.3">
      <c r="A341" s="16">
        <v>727</v>
      </c>
      <c r="B341" s="29" t="s">
        <v>518</v>
      </c>
      <c r="C341" s="29">
        <v>75437612</v>
      </c>
      <c r="D341" s="29" t="s">
        <v>481</v>
      </c>
      <c r="E341" s="44" t="s">
        <v>477</v>
      </c>
      <c r="F341" s="29" t="s">
        <v>996</v>
      </c>
      <c r="G341" s="122">
        <v>20</v>
      </c>
      <c r="H341" s="122">
        <v>0</v>
      </c>
      <c r="I341" s="123">
        <v>0</v>
      </c>
      <c r="J341" s="122">
        <v>0</v>
      </c>
      <c r="K341" s="122">
        <v>0</v>
      </c>
      <c r="L341" s="122">
        <v>0</v>
      </c>
      <c r="M341" s="123">
        <v>43.8</v>
      </c>
      <c r="N341" s="123">
        <v>56.7</v>
      </c>
      <c r="O341" s="124">
        <f t="shared" si="5"/>
        <v>876</v>
      </c>
      <c r="P341" s="51" t="s">
        <v>1371</v>
      </c>
    </row>
    <row r="342" spans="1:16" x14ac:dyDescent="0.3">
      <c r="A342" s="16">
        <v>4116</v>
      </c>
      <c r="B342" s="29" t="s">
        <v>557</v>
      </c>
      <c r="C342" s="29">
        <v>75437612</v>
      </c>
      <c r="D342" s="29" t="s">
        <v>481</v>
      </c>
      <c r="E342" s="44" t="s">
        <v>477</v>
      </c>
      <c r="F342" s="29" t="s">
        <v>996</v>
      </c>
      <c r="G342" s="122">
        <v>20</v>
      </c>
      <c r="H342" s="122">
        <v>0</v>
      </c>
      <c r="I342" s="123">
        <v>0</v>
      </c>
      <c r="J342" s="122">
        <v>0</v>
      </c>
      <c r="K342" s="122">
        <v>0</v>
      </c>
      <c r="L342" s="122">
        <v>0</v>
      </c>
      <c r="M342" s="123">
        <v>43.8</v>
      </c>
      <c r="N342" s="123">
        <v>56.7</v>
      </c>
      <c r="O342" s="124">
        <f t="shared" si="5"/>
        <v>876</v>
      </c>
      <c r="P342" s="51" t="s">
        <v>1371</v>
      </c>
    </row>
    <row r="343" spans="1:16" x14ac:dyDescent="0.3">
      <c r="A343" s="16">
        <v>4412</v>
      </c>
      <c r="B343" s="29" t="s">
        <v>538</v>
      </c>
      <c r="C343" s="29">
        <v>75437612</v>
      </c>
      <c r="D343" s="29" t="s">
        <v>481</v>
      </c>
      <c r="E343" s="44" t="s">
        <v>477</v>
      </c>
      <c r="F343" s="29" t="s">
        <v>996</v>
      </c>
      <c r="G343" s="122">
        <v>20</v>
      </c>
      <c r="H343" s="122">
        <v>0</v>
      </c>
      <c r="I343" s="123">
        <v>0</v>
      </c>
      <c r="J343" s="122">
        <v>0</v>
      </c>
      <c r="K343" s="122">
        <v>0</v>
      </c>
      <c r="L343" s="122">
        <v>0</v>
      </c>
      <c r="M343" s="123">
        <v>43.8</v>
      </c>
      <c r="N343" s="123">
        <v>56.7</v>
      </c>
      <c r="O343" s="124">
        <f t="shared" si="5"/>
        <v>876</v>
      </c>
      <c r="P343" s="51" t="s">
        <v>1371</v>
      </c>
    </row>
    <row r="344" spans="1:16" x14ac:dyDescent="0.3">
      <c r="A344" s="16">
        <v>4433</v>
      </c>
      <c r="B344" s="29" t="s">
        <v>520</v>
      </c>
      <c r="C344" s="29">
        <v>75437612</v>
      </c>
      <c r="D344" s="29" t="s">
        <v>481</v>
      </c>
      <c r="E344" s="44" t="s">
        <v>477</v>
      </c>
      <c r="F344" s="29" t="s">
        <v>996</v>
      </c>
      <c r="G344" s="122">
        <v>20</v>
      </c>
      <c r="H344" s="122">
        <v>0</v>
      </c>
      <c r="I344" s="123">
        <v>0</v>
      </c>
      <c r="J344" s="122">
        <v>0</v>
      </c>
      <c r="K344" s="122">
        <v>0</v>
      </c>
      <c r="L344" s="122">
        <v>0</v>
      </c>
      <c r="M344" s="123">
        <v>43.8</v>
      </c>
      <c r="N344" s="123">
        <v>56.7</v>
      </c>
      <c r="O344" s="124">
        <f t="shared" si="5"/>
        <v>876</v>
      </c>
      <c r="P344" s="51" t="s">
        <v>1371</v>
      </c>
    </row>
    <row r="345" spans="1:16" x14ac:dyDescent="0.3">
      <c r="A345" s="16">
        <v>4490</v>
      </c>
      <c r="B345" s="29" t="s">
        <v>537</v>
      </c>
      <c r="C345" s="29">
        <v>75437612</v>
      </c>
      <c r="D345" s="29" t="s">
        <v>481</v>
      </c>
      <c r="E345" s="44" t="s">
        <v>477</v>
      </c>
      <c r="F345" s="29" t="s">
        <v>996</v>
      </c>
      <c r="G345" s="122">
        <v>20</v>
      </c>
      <c r="H345" s="122">
        <v>0</v>
      </c>
      <c r="I345" s="123">
        <v>0</v>
      </c>
      <c r="J345" s="122">
        <v>0</v>
      </c>
      <c r="K345" s="122">
        <v>0</v>
      </c>
      <c r="L345" s="122">
        <v>0</v>
      </c>
      <c r="M345" s="123">
        <v>43.8</v>
      </c>
      <c r="N345" s="123">
        <v>56.7</v>
      </c>
      <c r="O345" s="124">
        <f t="shared" si="5"/>
        <v>876</v>
      </c>
      <c r="P345" s="51" t="s">
        <v>1371</v>
      </c>
    </row>
    <row r="346" spans="1:16" x14ac:dyDescent="0.3">
      <c r="A346" s="16">
        <v>35</v>
      </c>
      <c r="B346" s="29" t="s">
        <v>549</v>
      </c>
      <c r="C346" s="29">
        <v>75437613</v>
      </c>
      <c r="D346" s="29" t="s">
        <v>478</v>
      </c>
      <c r="E346" s="44" t="s">
        <v>477</v>
      </c>
      <c r="F346" s="29" t="s">
        <v>996</v>
      </c>
      <c r="G346" s="122">
        <v>20</v>
      </c>
      <c r="H346" s="122">
        <v>0</v>
      </c>
      <c r="I346" s="123">
        <v>0</v>
      </c>
      <c r="J346" s="122">
        <v>0</v>
      </c>
      <c r="K346" s="122">
        <v>0</v>
      </c>
      <c r="L346" s="122">
        <v>0</v>
      </c>
      <c r="M346" s="123">
        <v>43.8</v>
      </c>
      <c r="N346" s="123">
        <v>56.7</v>
      </c>
      <c r="O346" s="124">
        <f t="shared" si="5"/>
        <v>876</v>
      </c>
      <c r="P346" s="51" t="s">
        <v>1371</v>
      </c>
    </row>
    <row r="347" spans="1:16" x14ac:dyDescent="0.3">
      <c r="A347" s="16">
        <v>4037</v>
      </c>
      <c r="B347" s="29" t="s">
        <v>517</v>
      </c>
      <c r="C347" s="29">
        <v>75437613</v>
      </c>
      <c r="D347" s="29" t="s">
        <v>478</v>
      </c>
      <c r="E347" s="44" t="s">
        <v>477</v>
      </c>
      <c r="F347" s="29" t="s">
        <v>996</v>
      </c>
      <c r="G347" s="122">
        <v>20</v>
      </c>
      <c r="H347" s="122">
        <v>0</v>
      </c>
      <c r="I347" s="123">
        <v>0</v>
      </c>
      <c r="J347" s="122">
        <v>0</v>
      </c>
      <c r="K347" s="122">
        <v>0</v>
      </c>
      <c r="L347" s="122">
        <v>0</v>
      </c>
      <c r="M347" s="123">
        <v>43.8</v>
      </c>
      <c r="N347" s="123">
        <v>56.7</v>
      </c>
      <c r="O347" s="124">
        <f t="shared" si="5"/>
        <v>876</v>
      </c>
      <c r="P347" s="51" t="s">
        <v>1371</v>
      </c>
    </row>
    <row r="348" spans="1:16" x14ac:dyDescent="0.3">
      <c r="A348" s="16">
        <v>4116</v>
      </c>
      <c r="B348" s="29" t="s">
        <v>557</v>
      </c>
      <c r="C348" s="29">
        <v>75437613</v>
      </c>
      <c r="D348" s="29" t="s">
        <v>478</v>
      </c>
      <c r="E348" s="44" t="s">
        <v>477</v>
      </c>
      <c r="F348" s="29" t="s">
        <v>996</v>
      </c>
      <c r="G348" s="122">
        <v>20</v>
      </c>
      <c r="H348" s="122">
        <v>0</v>
      </c>
      <c r="I348" s="123">
        <v>0</v>
      </c>
      <c r="J348" s="122">
        <v>0</v>
      </c>
      <c r="K348" s="122">
        <v>0</v>
      </c>
      <c r="L348" s="122">
        <v>0</v>
      </c>
      <c r="M348" s="123">
        <v>43.8</v>
      </c>
      <c r="N348" s="123">
        <v>56.7</v>
      </c>
      <c r="O348" s="124">
        <f t="shared" si="5"/>
        <v>876</v>
      </c>
      <c r="P348" s="51" t="s">
        <v>1371</v>
      </c>
    </row>
    <row r="349" spans="1:16" x14ac:dyDescent="0.3">
      <c r="A349" s="16">
        <v>4173</v>
      </c>
      <c r="B349" s="29" t="s">
        <v>539</v>
      </c>
      <c r="C349" s="29">
        <v>75437613</v>
      </c>
      <c r="D349" s="29" t="s">
        <v>478</v>
      </c>
      <c r="E349" s="44" t="s">
        <v>477</v>
      </c>
      <c r="F349" s="29" t="s">
        <v>996</v>
      </c>
      <c r="G349" s="122">
        <v>20</v>
      </c>
      <c r="H349" s="122">
        <v>0</v>
      </c>
      <c r="I349" s="123">
        <v>0</v>
      </c>
      <c r="J349" s="122">
        <v>0</v>
      </c>
      <c r="K349" s="122">
        <v>20</v>
      </c>
      <c r="L349" s="122">
        <v>0</v>
      </c>
      <c r="M349" s="123">
        <v>43.8</v>
      </c>
      <c r="N349" s="123">
        <v>56.7</v>
      </c>
      <c r="O349" s="124">
        <f t="shared" si="5"/>
        <v>876</v>
      </c>
      <c r="P349" s="51" t="s">
        <v>1371</v>
      </c>
    </row>
    <row r="350" spans="1:16" x14ac:dyDescent="0.3">
      <c r="A350" s="16">
        <v>4412</v>
      </c>
      <c r="B350" s="29" t="s">
        <v>538</v>
      </c>
      <c r="C350" s="29">
        <v>75437613</v>
      </c>
      <c r="D350" s="29" t="s">
        <v>478</v>
      </c>
      <c r="E350" s="44" t="s">
        <v>477</v>
      </c>
      <c r="F350" s="29" t="s">
        <v>996</v>
      </c>
      <c r="G350" s="122">
        <v>20</v>
      </c>
      <c r="H350" s="122">
        <v>0</v>
      </c>
      <c r="I350" s="123">
        <v>0</v>
      </c>
      <c r="J350" s="122">
        <v>0</v>
      </c>
      <c r="K350" s="122">
        <v>0</v>
      </c>
      <c r="L350" s="122">
        <v>0</v>
      </c>
      <c r="M350" s="123">
        <v>43.8</v>
      </c>
      <c r="N350" s="123">
        <v>56.7</v>
      </c>
      <c r="O350" s="124">
        <f t="shared" si="5"/>
        <v>876</v>
      </c>
      <c r="P350" s="51" t="s">
        <v>1371</v>
      </c>
    </row>
    <row r="351" spans="1:16" x14ac:dyDescent="0.3">
      <c r="A351" s="16">
        <v>4490</v>
      </c>
      <c r="B351" s="29" t="s">
        <v>537</v>
      </c>
      <c r="C351" s="29">
        <v>75437613</v>
      </c>
      <c r="D351" s="29" t="s">
        <v>478</v>
      </c>
      <c r="E351" s="44" t="s">
        <v>477</v>
      </c>
      <c r="F351" s="29" t="s">
        <v>996</v>
      </c>
      <c r="G351" s="122">
        <v>20</v>
      </c>
      <c r="H351" s="122">
        <v>0</v>
      </c>
      <c r="I351" s="123">
        <v>0</v>
      </c>
      <c r="J351" s="122">
        <v>0</v>
      </c>
      <c r="K351" s="122">
        <v>0</v>
      </c>
      <c r="L351" s="122">
        <v>0</v>
      </c>
      <c r="M351" s="123">
        <v>43.8</v>
      </c>
      <c r="N351" s="123">
        <v>56.7</v>
      </c>
      <c r="O351" s="124">
        <f t="shared" si="5"/>
        <v>876</v>
      </c>
      <c r="P351" s="51" t="s">
        <v>1371</v>
      </c>
    </row>
    <row r="352" spans="1:16" x14ac:dyDescent="0.3">
      <c r="A352" s="16">
        <v>21</v>
      </c>
      <c r="B352" s="29" t="s">
        <v>550</v>
      </c>
      <c r="C352" s="29">
        <v>75437615</v>
      </c>
      <c r="D352" s="29" t="s">
        <v>476</v>
      </c>
      <c r="E352" s="44" t="s">
        <v>477</v>
      </c>
      <c r="F352" s="29" t="s">
        <v>995</v>
      </c>
      <c r="G352" s="122">
        <v>20</v>
      </c>
      <c r="H352" s="122">
        <v>0</v>
      </c>
      <c r="I352" s="123">
        <v>0</v>
      </c>
      <c r="J352" s="122">
        <v>0</v>
      </c>
      <c r="K352" s="122">
        <v>0</v>
      </c>
      <c r="L352" s="122">
        <v>0</v>
      </c>
      <c r="M352" s="123">
        <v>16</v>
      </c>
      <c r="N352" s="123">
        <v>20.76</v>
      </c>
      <c r="O352" s="124">
        <f t="shared" si="5"/>
        <v>320</v>
      </c>
      <c r="P352" s="51" t="s">
        <v>1371</v>
      </c>
    </row>
    <row r="353" spans="1:16" x14ac:dyDescent="0.3">
      <c r="A353" s="16">
        <v>414</v>
      </c>
      <c r="B353" s="29" t="s">
        <v>544</v>
      </c>
      <c r="C353" s="29">
        <v>75437615</v>
      </c>
      <c r="D353" s="29" t="s">
        <v>476</v>
      </c>
      <c r="E353" s="44" t="s">
        <v>477</v>
      </c>
      <c r="F353" s="29" t="s">
        <v>995</v>
      </c>
      <c r="G353" s="122">
        <v>20</v>
      </c>
      <c r="H353" s="122">
        <v>0</v>
      </c>
      <c r="I353" s="123">
        <v>0</v>
      </c>
      <c r="J353" s="122">
        <v>0</v>
      </c>
      <c r="K353" s="122">
        <v>0</v>
      </c>
      <c r="L353" s="122">
        <v>0</v>
      </c>
      <c r="M353" s="123">
        <v>16</v>
      </c>
      <c r="N353" s="123">
        <v>20.76</v>
      </c>
      <c r="O353" s="124">
        <f t="shared" si="5"/>
        <v>320</v>
      </c>
      <c r="P353" s="51" t="s">
        <v>1371</v>
      </c>
    </row>
    <row r="354" spans="1:16" x14ac:dyDescent="0.3">
      <c r="A354" s="16">
        <v>1054</v>
      </c>
      <c r="B354" s="29" t="s">
        <v>524</v>
      </c>
      <c r="C354" s="29">
        <v>75437615</v>
      </c>
      <c r="D354" s="29" t="s">
        <v>476</v>
      </c>
      <c r="E354" s="44" t="s">
        <v>477</v>
      </c>
      <c r="F354" s="29" t="s">
        <v>995</v>
      </c>
      <c r="G354" s="122">
        <v>20</v>
      </c>
      <c r="H354" s="122">
        <v>0</v>
      </c>
      <c r="I354" s="123">
        <v>0</v>
      </c>
      <c r="J354" s="122">
        <v>0</v>
      </c>
      <c r="K354" s="122">
        <v>0</v>
      </c>
      <c r="L354" s="122">
        <v>0</v>
      </c>
      <c r="M354" s="123">
        <v>16</v>
      </c>
      <c r="N354" s="123">
        <v>20.76</v>
      </c>
      <c r="O354" s="124">
        <f t="shared" si="5"/>
        <v>320</v>
      </c>
      <c r="P354" s="51" t="s">
        <v>1371</v>
      </c>
    </row>
    <row r="355" spans="1:16" x14ac:dyDescent="0.3">
      <c r="A355" s="16">
        <v>4037</v>
      </c>
      <c r="B355" s="29" t="s">
        <v>517</v>
      </c>
      <c r="C355" s="29">
        <v>75437615</v>
      </c>
      <c r="D355" s="29" t="s">
        <v>476</v>
      </c>
      <c r="E355" s="44" t="s">
        <v>477</v>
      </c>
      <c r="F355" s="29" t="s">
        <v>995</v>
      </c>
      <c r="G355" s="122">
        <v>20</v>
      </c>
      <c r="H355" s="122">
        <v>0</v>
      </c>
      <c r="I355" s="123">
        <v>0</v>
      </c>
      <c r="J355" s="122">
        <v>0</v>
      </c>
      <c r="K355" s="122">
        <v>0</v>
      </c>
      <c r="L355" s="122">
        <v>0</v>
      </c>
      <c r="M355" s="123">
        <v>16</v>
      </c>
      <c r="N355" s="123">
        <v>20.76</v>
      </c>
      <c r="O355" s="124">
        <f t="shared" si="5"/>
        <v>320</v>
      </c>
      <c r="P355" s="51" t="s">
        <v>1371</v>
      </c>
    </row>
    <row r="356" spans="1:16" x14ac:dyDescent="0.3">
      <c r="A356" s="16">
        <v>4116</v>
      </c>
      <c r="B356" s="29" t="s">
        <v>557</v>
      </c>
      <c r="C356" s="29">
        <v>75437615</v>
      </c>
      <c r="D356" s="29" t="s">
        <v>476</v>
      </c>
      <c r="E356" s="44" t="s">
        <v>477</v>
      </c>
      <c r="F356" s="29" t="s">
        <v>995</v>
      </c>
      <c r="G356" s="122">
        <v>20</v>
      </c>
      <c r="H356" s="122">
        <v>0</v>
      </c>
      <c r="I356" s="123">
        <v>0</v>
      </c>
      <c r="J356" s="122">
        <v>0</v>
      </c>
      <c r="K356" s="122">
        <v>0</v>
      </c>
      <c r="L356" s="122">
        <v>0</v>
      </c>
      <c r="M356" s="123">
        <v>16</v>
      </c>
      <c r="N356" s="123">
        <v>20.76</v>
      </c>
      <c r="O356" s="124">
        <f t="shared" si="5"/>
        <v>320</v>
      </c>
      <c r="P356" s="51" t="s">
        <v>1371</v>
      </c>
    </row>
    <row r="357" spans="1:16" x14ac:dyDescent="0.3">
      <c r="A357" s="16">
        <v>4126</v>
      </c>
      <c r="B357" s="29" t="s">
        <v>547</v>
      </c>
      <c r="C357" s="29">
        <v>75437615</v>
      </c>
      <c r="D357" s="29" t="s">
        <v>476</v>
      </c>
      <c r="E357" s="44" t="s">
        <v>477</v>
      </c>
      <c r="F357" s="29" t="s">
        <v>995</v>
      </c>
      <c r="G357" s="122">
        <v>20</v>
      </c>
      <c r="H357" s="122">
        <v>0</v>
      </c>
      <c r="I357" s="123">
        <v>0</v>
      </c>
      <c r="J357" s="122">
        <v>0</v>
      </c>
      <c r="K357" s="122">
        <v>0</v>
      </c>
      <c r="L357" s="122">
        <v>0</v>
      </c>
      <c r="M357" s="123">
        <v>16</v>
      </c>
      <c r="N357" s="123">
        <v>20.76</v>
      </c>
      <c r="O357" s="124">
        <f t="shared" si="5"/>
        <v>320</v>
      </c>
      <c r="P357" s="51" t="s">
        <v>1371</v>
      </c>
    </row>
    <row r="358" spans="1:16" x14ac:dyDescent="0.3">
      <c r="A358" s="16">
        <v>4412</v>
      </c>
      <c r="B358" s="29" t="s">
        <v>538</v>
      </c>
      <c r="C358" s="29">
        <v>75437615</v>
      </c>
      <c r="D358" s="29" t="s">
        <v>476</v>
      </c>
      <c r="E358" s="44" t="s">
        <v>477</v>
      </c>
      <c r="F358" s="29" t="s">
        <v>995</v>
      </c>
      <c r="G358" s="122">
        <v>20</v>
      </c>
      <c r="H358" s="122">
        <v>0</v>
      </c>
      <c r="I358" s="123">
        <v>0</v>
      </c>
      <c r="J358" s="122">
        <v>0</v>
      </c>
      <c r="K358" s="122">
        <v>0</v>
      </c>
      <c r="L358" s="122">
        <v>0</v>
      </c>
      <c r="M358" s="123">
        <v>16</v>
      </c>
      <c r="N358" s="123">
        <v>20.76</v>
      </c>
      <c r="O358" s="124">
        <f t="shared" si="5"/>
        <v>320</v>
      </c>
      <c r="P358" s="51" t="s">
        <v>1371</v>
      </c>
    </row>
    <row r="359" spans="1:16" x14ac:dyDescent="0.3">
      <c r="A359" s="16">
        <v>21</v>
      </c>
      <c r="B359" s="29" t="s">
        <v>550</v>
      </c>
      <c r="C359" s="29">
        <v>75437617</v>
      </c>
      <c r="D359" s="29" t="s">
        <v>487</v>
      </c>
      <c r="E359" s="44" t="s">
        <v>477</v>
      </c>
      <c r="F359" s="29" t="s">
        <v>996</v>
      </c>
      <c r="G359" s="122">
        <v>20</v>
      </c>
      <c r="H359" s="122">
        <v>0</v>
      </c>
      <c r="I359" s="123">
        <v>0</v>
      </c>
      <c r="J359" s="122">
        <v>0</v>
      </c>
      <c r="K359" s="122">
        <v>0</v>
      </c>
      <c r="L359" s="122">
        <v>0</v>
      </c>
      <c r="M359" s="123">
        <v>16</v>
      </c>
      <c r="N359" s="123">
        <v>20.76</v>
      </c>
      <c r="O359" s="124">
        <f t="shared" si="5"/>
        <v>320</v>
      </c>
      <c r="P359" s="51" t="s">
        <v>1371</v>
      </c>
    </row>
    <row r="360" spans="1:16" x14ac:dyDescent="0.3">
      <c r="A360" s="16">
        <v>4037</v>
      </c>
      <c r="B360" s="29" t="s">
        <v>517</v>
      </c>
      <c r="C360" s="29">
        <v>75437617</v>
      </c>
      <c r="D360" s="29" t="s">
        <v>487</v>
      </c>
      <c r="E360" s="44" t="s">
        <v>477</v>
      </c>
      <c r="F360" s="29" t="s">
        <v>996</v>
      </c>
      <c r="G360" s="122">
        <v>20</v>
      </c>
      <c r="H360" s="122">
        <v>0</v>
      </c>
      <c r="I360" s="123">
        <v>0</v>
      </c>
      <c r="J360" s="122">
        <v>0</v>
      </c>
      <c r="K360" s="122">
        <v>0</v>
      </c>
      <c r="L360" s="122">
        <v>0</v>
      </c>
      <c r="M360" s="123">
        <v>16</v>
      </c>
      <c r="N360" s="123">
        <v>20.76</v>
      </c>
      <c r="O360" s="124">
        <f t="shared" si="5"/>
        <v>320</v>
      </c>
      <c r="P360" s="51" t="s">
        <v>1371</v>
      </c>
    </row>
    <row r="361" spans="1:16" x14ac:dyDescent="0.3">
      <c r="A361" s="16">
        <v>4116</v>
      </c>
      <c r="B361" s="29" t="s">
        <v>557</v>
      </c>
      <c r="C361" s="29">
        <v>75437617</v>
      </c>
      <c r="D361" s="29" t="s">
        <v>487</v>
      </c>
      <c r="E361" s="44" t="s">
        <v>477</v>
      </c>
      <c r="F361" s="29" t="s">
        <v>996</v>
      </c>
      <c r="G361" s="122">
        <v>20</v>
      </c>
      <c r="H361" s="122">
        <v>0</v>
      </c>
      <c r="I361" s="123">
        <v>0</v>
      </c>
      <c r="J361" s="122">
        <v>0</v>
      </c>
      <c r="K361" s="122">
        <v>0</v>
      </c>
      <c r="L361" s="122">
        <v>0</v>
      </c>
      <c r="M361" s="123">
        <v>16</v>
      </c>
      <c r="N361" s="123">
        <v>20.76</v>
      </c>
      <c r="O361" s="124">
        <f t="shared" si="5"/>
        <v>320</v>
      </c>
      <c r="P361" s="51" t="s">
        <v>1371</v>
      </c>
    </row>
    <row r="362" spans="1:16" x14ac:dyDescent="0.3">
      <c r="A362" s="16">
        <v>4412</v>
      </c>
      <c r="B362" s="29" t="s">
        <v>538</v>
      </c>
      <c r="C362" s="29">
        <v>75437618</v>
      </c>
      <c r="D362" s="29" t="s">
        <v>484</v>
      </c>
      <c r="E362" s="44" t="s">
        <v>477</v>
      </c>
      <c r="F362" s="29" t="s">
        <v>996</v>
      </c>
      <c r="G362" s="122">
        <v>20</v>
      </c>
      <c r="H362" s="122">
        <v>0</v>
      </c>
      <c r="I362" s="123">
        <v>0</v>
      </c>
      <c r="J362" s="122">
        <v>0</v>
      </c>
      <c r="K362" s="122">
        <v>0</v>
      </c>
      <c r="L362" s="122">
        <v>0</v>
      </c>
      <c r="M362" s="123">
        <v>18.25</v>
      </c>
      <c r="N362" s="123">
        <v>23.66</v>
      </c>
      <c r="O362" s="124">
        <f t="shared" si="5"/>
        <v>365</v>
      </c>
      <c r="P362" s="51" t="s">
        <v>1371</v>
      </c>
    </row>
    <row r="363" spans="1:16" x14ac:dyDescent="0.3">
      <c r="A363" s="16">
        <v>4412</v>
      </c>
      <c r="B363" s="29" t="s">
        <v>538</v>
      </c>
      <c r="C363" s="29">
        <v>75437619</v>
      </c>
      <c r="D363" s="29" t="s">
        <v>485</v>
      </c>
      <c r="E363" s="44" t="s">
        <v>477</v>
      </c>
      <c r="F363" s="29" t="s">
        <v>996</v>
      </c>
      <c r="G363" s="122">
        <v>20</v>
      </c>
      <c r="H363" s="122">
        <v>0</v>
      </c>
      <c r="I363" s="123">
        <v>0</v>
      </c>
      <c r="J363" s="122">
        <v>0</v>
      </c>
      <c r="K363" s="122">
        <v>0</v>
      </c>
      <c r="L363" s="122">
        <v>0</v>
      </c>
      <c r="M363" s="123">
        <v>18.25</v>
      </c>
      <c r="N363" s="123">
        <v>23.66</v>
      </c>
      <c r="O363" s="124">
        <f t="shared" si="5"/>
        <v>365</v>
      </c>
      <c r="P363" s="51" t="s">
        <v>1371</v>
      </c>
    </row>
    <row r="364" spans="1:16" x14ac:dyDescent="0.3">
      <c r="A364" s="16">
        <v>4490</v>
      </c>
      <c r="B364" s="29" t="s">
        <v>537</v>
      </c>
      <c r="C364" s="29">
        <v>75437619</v>
      </c>
      <c r="D364" s="29" t="s">
        <v>485</v>
      </c>
      <c r="E364" s="44" t="s">
        <v>477</v>
      </c>
      <c r="F364" s="29" t="s">
        <v>996</v>
      </c>
      <c r="G364" s="122">
        <v>20</v>
      </c>
      <c r="H364" s="122">
        <v>0</v>
      </c>
      <c r="I364" s="123">
        <v>0</v>
      </c>
      <c r="J364" s="122">
        <v>0</v>
      </c>
      <c r="K364" s="122">
        <v>0</v>
      </c>
      <c r="L364" s="122">
        <v>0</v>
      </c>
      <c r="M364" s="123">
        <v>18.25</v>
      </c>
      <c r="N364" s="123">
        <v>23.66</v>
      </c>
      <c r="O364" s="124">
        <f t="shared" si="5"/>
        <v>365</v>
      </c>
      <c r="P364" s="51" t="s">
        <v>1371</v>
      </c>
    </row>
    <row r="365" spans="1:16" x14ac:dyDescent="0.3">
      <c r="A365" s="16">
        <v>169</v>
      </c>
      <c r="B365" s="29" t="s">
        <v>531</v>
      </c>
      <c r="C365" s="29">
        <v>75437620</v>
      </c>
      <c r="D365" s="29" t="s">
        <v>486</v>
      </c>
      <c r="E365" s="44" t="s">
        <v>477</v>
      </c>
      <c r="F365" s="29" t="s">
        <v>996</v>
      </c>
      <c r="G365" s="122">
        <v>20</v>
      </c>
      <c r="H365" s="122">
        <v>0</v>
      </c>
      <c r="I365" s="123">
        <v>0</v>
      </c>
      <c r="J365" s="122">
        <v>0</v>
      </c>
      <c r="K365" s="122">
        <v>0</v>
      </c>
      <c r="L365" s="122">
        <v>0</v>
      </c>
      <c r="M365" s="123">
        <v>18.25</v>
      </c>
      <c r="N365" s="123">
        <v>23.66</v>
      </c>
      <c r="O365" s="124">
        <f t="shared" si="5"/>
        <v>365</v>
      </c>
      <c r="P365" s="51" t="s">
        <v>1371</v>
      </c>
    </row>
    <row r="366" spans="1:16" x14ac:dyDescent="0.3">
      <c r="A366" s="16">
        <v>4370</v>
      </c>
      <c r="B366" s="29" t="s">
        <v>542</v>
      </c>
      <c r="C366" s="29">
        <v>75437620</v>
      </c>
      <c r="D366" s="29" t="s">
        <v>486</v>
      </c>
      <c r="E366" s="44" t="s">
        <v>477</v>
      </c>
      <c r="F366" s="29" t="s">
        <v>996</v>
      </c>
      <c r="G366" s="122">
        <v>20</v>
      </c>
      <c r="H366" s="122">
        <v>0</v>
      </c>
      <c r="I366" s="123">
        <v>0</v>
      </c>
      <c r="J366" s="122">
        <v>0</v>
      </c>
      <c r="K366" s="122">
        <v>0</v>
      </c>
      <c r="L366" s="122">
        <v>0</v>
      </c>
      <c r="M366" s="123">
        <v>18.25</v>
      </c>
      <c r="N366" s="123">
        <v>23.66</v>
      </c>
      <c r="O366" s="124">
        <f t="shared" si="5"/>
        <v>365</v>
      </c>
      <c r="P366" s="51" t="s">
        <v>1371</v>
      </c>
    </row>
    <row r="367" spans="1:16" x14ac:dyDescent="0.3">
      <c r="A367" s="16">
        <v>4412</v>
      </c>
      <c r="B367" s="29" t="s">
        <v>538</v>
      </c>
      <c r="C367" s="29">
        <v>75437620</v>
      </c>
      <c r="D367" s="29" t="s">
        <v>486</v>
      </c>
      <c r="E367" s="44" t="s">
        <v>477</v>
      </c>
      <c r="F367" s="29" t="s">
        <v>996</v>
      </c>
      <c r="G367" s="122">
        <v>20</v>
      </c>
      <c r="H367" s="122">
        <v>0</v>
      </c>
      <c r="I367" s="123">
        <v>0</v>
      </c>
      <c r="J367" s="122">
        <v>0</v>
      </c>
      <c r="K367" s="122">
        <v>0</v>
      </c>
      <c r="L367" s="122">
        <v>0</v>
      </c>
      <c r="M367" s="123">
        <v>18.25</v>
      </c>
      <c r="N367" s="123">
        <v>23.66</v>
      </c>
      <c r="O367" s="124">
        <f t="shared" si="5"/>
        <v>365</v>
      </c>
      <c r="P367" s="51" t="s">
        <v>1371</v>
      </c>
    </row>
    <row r="368" spans="1:16" x14ac:dyDescent="0.3">
      <c r="A368" s="16">
        <v>33</v>
      </c>
      <c r="B368" s="29" t="s">
        <v>526</v>
      </c>
      <c r="C368" s="29">
        <v>75437612</v>
      </c>
      <c r="D368" s="29" t="s">
        <v>481</v>
      </c>
      <c r="E368" s="44" t="s">
        <v>477</v>
      </c>
      <c r="F368" s="29" t="s">
        <v>996</v>
      </c>
      <c r="G368" s="122">
        <v>19</v>
      </c>
      <c r="H368" s="122">
        <v>0</v>
      </c>
      <c r="I368" s="123">
        <v>0</v>
      </c>
      <c r="J368" s="122">
        <v>0</v>
      </c>
      <c r="K368" s="122">
        <v>0</v>
      </c>
      <c r="L368" s="122">
        <v>0</v>
      </c>
      <c r="M368" s="123">
        <v>43.8</v>
      </c>
      <c r="N368" s="123">
        <v>56.7</v>
      </c>
      <c r="O368" s="124">
        <f t="shared" si="5"/>
        <v>832.19999999999993</v>
      </c>
      <c r="P368" s="51" t="s">
        <v>1371</v>
      </c>
    </row>
    <row r="369" spans="1:16" x14ac:dyDescent="0.3">
      <c r="A369" s="16">
        <v>47</v>
      </c>
      <c r="B369" s="29" t="s">
        <v>516</v>
      </c>
      <c r="C369" s="29">
        <v>75437612</v>
      </c>
      <c r="D369" s="29" t="s">
        <v>481</v>
      </c>
      <c r="E369" s="44" t="s">
        <v>477</v>
      </c>
      <c r="F369" s="29" t="s">
        <v>996</v>
      </c>
      <c r="G369" s="122">
        <v>19</v>
      </c>
      <c r="H369" s="122">
        <v>0</v>
      </c>
      <c r="I369" s="123">
        <v>0</v>
      </c>
      <c r="J369" s="122">
        <v>0</v>
      </c>
      <c r="K369" s="122">
        <v>0</v>
      </c>
      <c r="L369" s="122">
        <v>0</v>
      </c>
      <c r="M369" s="123">
        <v>43.8</v>
      </c>
      <c r="N369" s="123">
        <v>56.7</v>
      </c>
      <c r="O369" s="124">
        <f t="shared" si="5"/>
        <v>832.19999999999993</v>
      </c>
      <c r="P369" s="51" t="s">
        <v>1371</v>
      </c>
    </row>
    <row r="370" spans="1:16" x14ac:dyDescent="0.3">
      <c r="A370" s="16">
        <v>169</v>
      </c>
      <c r="B370" s="29" t="s">
        <v>531</v>
      </c>
      <c r="C370" s="29">
        <v>75437612</v>
      </c>
      <c r="D370" s="29" t="s">
        <v>481</v>
      </c>
      <c r="E370" s="44" t="s">
        <v>477</v>
      </c>
      <c r="F370" s="29" t="s">
        <v>996</v>
      </c>
      <c r="G370" s="122">
        <v>19</v>
      </c>
      <c r="H370" s="122">
        <v>0</v>
      </c>
      <c r="I370" s="123">
        <v>0</v>
      </c>
      <c r="J370" s="122">
        <v>0</v>
      </c>
      <c r="K370" s="122">
        <v>0</v>
      </c>
      <c r="L370" s="122">
        <v>0</v>
      </c>
      <c r="M370" s="123">
        <v>43.8</v>
      </c>
      <c r="N370" s="123">
        <v>56.7</v>
      </c>
      <c r="O370" s="124">
        <f t="shared" si="5"/>
        <v>832.19999999999993</v>
      </c>
      <c r="P370" s="51" t="s">
        <v>1371</v>
      </c>
    </row>
    <row r="371" spans="1:16" x14ac:dyDescent="0.3">
      <c r="A371" s="16">
        <v>491</v>
      </c>
      <c r="B371" s="29" t="s">
        <v>514</v>
      </c>
      <c r="C371" s="29">
        <v>75437612</v>
      </c>
      <c r="D371" s="29" t="s">
        <v>481</v>
      </c>
      <c r="E371" s="44" t="s">
        <v>477</v>
      </c>
      <c r="F371" s="29" t="s">
        <v>996</v>
      </c>
      <c r="G371" s="122">
        <v>19</v>
      </c>
      <c r="H371" s="122">
        <v>0</v>
      </c>
      <c r="I371" s="123">
        <v>0</v>
      </c>
      <c r="J371" s="122">
        <v>0</v>
      </c>
      <c r="K371" s="122">
        <v>0</v>
      </c>
      <c r="L371" s="122">
        <v>0</v>
      </c>
      <c r="M371" s="123">
        <v>43.8</v>
      </c>
      <c r="N371" s="123">
        <v>56.7</v>
      </c>
      <c r="O371" s="124">
        <f t="shared" si="5"/>
        <v>832.19999999999993</v>
      </c>
      <c r="P371" s="51" t="s">
        <v>1371</v>
      </c>
    </row>
    <row r="372" spans="1:16" x14ac:dyDescent="0.3">
      <c r="A372" s="16">
        <v>4037</v>
      </c>
      <c r="B372" s="29" t="s">
        <v>517</v>
      </c>
      <c r="C372" s="29">
        <v>75437612</v>
      </c>
      <c r="D372" s="29" t="s">
        <v>481</v>
      </c>
      <c r="E372" s="44" t="s">
        <v>477</v>
      </c>
      <c r="F372" s="29" t="s">
        <v>996</v>
      </c>
      <c r="G372" s="122">
        <v>19</v>
      </c>
      <c r="H372" s="122">
        <v>0</v>
      </c>
      <c r="I372" s="123">
        <v>0</v>
      </c>
      <c r="J372" s="122">
        <v>0</v>
      </c>
      <c r="K372" s="122">
        <v>0</v>
      </c>
      <c r="L372" s="122">
        <v>0</v>
      </c>
      <c r="M372" s="123">
        <v>43.8</v>
      </c>
      <c r="N372" s="123">
        <v>56.7</v>
      </c>
      <c r="O372" s="124">
        <f t="shared" si="5"/>
        <v>832.19999999999993</v>
      </c>
      <c r="P372" s="51" t="s">
        <v>1371</v>
      </c>
    </row>
    <row r="373" spans="1:16" x14ac:dyDescent="0.3">
      <c r="A373" s="16">
        <v>24</v>
      </c>
      <c r="B373" s="29" t="s">
        <v>543</v>
      </c>
      <c r="C373" s="29">
        <v>75437613</v>
      </c>
      <c r="D373" s="29" t="s">
        <v>478</v>
      </c>
      <c r="E373" s="44" t="s">
        <v>477</v>
      </c>
      <c r="F373" s="29" t="s">
        <v>996</v>
      </c>
      <c r="G373" s="122">
        <v>19</v>
      </c>
      <c r="H373" s="122">
        <v>0</v>
      </c>
      <c r="I373" s="123">
        <v>0</v>
      </c>
      <c r="J373" s="122">
        <v>0</v>
      </c>
      <c r="K373" s="122">
        <v>0</v>
      </c>
      <c r="L373" s="122">
        <v>0</v>
      </c>
      <c r="M373" s="123">
        <v>43.8</v>
      </c>
      <c r="N373" s="123">
        <v>56.7</v>
      </c>
      <c r="O373" s="124">
        <f t="shared" si="5"/>
        <v>832.19999999999993</v>
      </c>
      <c r="P373" s="51" t="s">
        <v>1371</v>
      </c>
    </row>
    <row r="374" spans="1:16" x14ac:dyDescent="0.3">
      <c r="A374" s="16">
        <v>414</v>
      </c>
      <c r="B374" s="29" t="s">
        <v>544</v>
      </c>
      <c r="C374" s="29">
        <v>75437613</v>
      </c>
      <c r="D374" s="29" t="s">
        <v>478</v>
      </c>
      <c r="E374" s="44" t="s">
        <v>477</v>
      </c>
      <c r="F374" s="29" t="s">
        <v>996</v>
      </c>
      <c r="G374" s="122">
        <v>19</v>
      </c>
      <c r="H374" s="122">
        <v>0</v>
      </c>
      <c r="I374" s="123">
        <v>0</v>
      </c>
      <c r="J374" s="122">
        <v>0</v>
      </c>
      <c r="K374" s="122">
        <v>0</v>
      </c>
      <c r="L374" s="122">
        <v>0</v>
      </c>
      <c r="M374" s="123">
        <v>43.8</v>
      </c>
      <c r="N374" s="123">
        <v>56.7</v>
      </c>
      <c r="O374" s="124">
        <f t="shared" si="5"/>
        <v>832.19999999999993</v>
      </c>
      <c r="P374" s="51" t="s">
        <v>1371</v>
      </c>
    </row>
    <row r="375" spans="1:16" x14ac:dyDescent="0.3">
      <c r="A375" s="16">
        <v>4412</v>
      </c>
      <c r="B375" s="29" t="s">
        <v>538</v>
      </c>
      <c r="C375" s="29">
        <v>75437617</v>
      </c>
      <c r="D375" s="29" t="s">
        <v>487</v>
      </c>
      <c r="E375" s="44" t="s">
        <v>477</v>
      </c>
      <c r="F375" s="29" t="s">
        <v>996</v>
      </c>
      <c r="G375" s="122">
        <v>19</v>
      </c>
      <c r="H375" s="122">
        <v>0</v>
      </c>
      <c r="I375" s="123">
        <v>0</v>
      </c>
      <c r="J375" s="122">
        <v>0</v>
      </c>
      <c r="K375" s="122">
        <v>0</v>
      </c>
      <c r="L375" s="122">
        <v>0</v>
      </c>
      <c r="M375" s="123">
        <v>16</v>
      </c>
      <c r="N375" s="123">
        <v>20.76</v>
      </c>
      <c r="O375" s="124">
        <f t="shared" si="5"/>
        <v>304</v>
      </c>
      <c r="P375" s="51" t="s">
        <v>1371</v>
      </c>
    </row>
    <row r="376" spans="1:16" x14ac:dyDescent="0.3">
      <c r="A376" s="16">
        <v>23</v>
      </c>
      <c r="B376" s="29" t="s">
        <v>521</v>
      </c>
      <c r="C376" s="29">
        <v>75437612</v>
      </c>
      <c r="D376" s="29" t="s">
        <v>481</v>
      </c>
      <c r="E376" s="44" t="s">
        <v>477</v>
      </c>
      <c r="F376" s="29" t="s">
        <v>996</v>
      </c>
      <c r="G376" s="122">
        <v>18</v>
      </c>
      <c r="H376" s="122">
        <v>0</v>
      </c>
      <c r="I376" s="123">
        <v>0</v>
      </c>
      <c r="J376" s="122">
        <v>0</v>
      </c>
      <c r="K376" s="122">
        <v>0</v>
      </c>
      <c r="L376" s="122">
        <v>0</v>
      </c>
      <c r="M376" s="123">
        <v>43.8</v>
      </c>
      <c r="N376" s="123">
        <v>56.7</v>
      </c>
      <c r="O376" s="124">
        <f t="shared" si="5"/>
        <v>788.4</v>
      </c>
      <c r="P376" s="51" t="s">
        <v>1371</v>
      </c>
    </row>
    <row r="377" spans="1:16" x14ac:dyDescent="0.3">
      <c r="A377" s="16">
        <v>419</v>
      </c>
      <c r="B377" s="29" t="s">
        <v>534</v>
      </c>
      <c r="C377" s="29">
        <v>75437612</v>
      </c>
      <c r="D377" s="29" t="s">
        <v>481</v>
      </c>
      <c r="E377" s="44" t="s">
        <v>477</v>
      </c>
      <c r="F377" s="29" t="s">
        <v>996</v>
      </c>
      <c r="G377" s="122">
        <v>18</v>
      </c>
      <c r="H377" s="122">
        <v>0</v>
      </c>
      <c r="I377" s="123">
        <v>0</v>
      </c>
      <c r="J377" s="122">
        <v>0</v>
      </c>
      <c r="K377" s="122">
        <v>0</v>
      </c>
      <c r="L377" s="122">
        <v>0</v>
      </c>
      <c r="M377" s="123">
        <v>43.8</v>
      </c>
      <c r="N377" s="123">
        <v>56.7</v>
      </c>
      <c r="O377" s="124">
        <f t="shared" si="5"/>
        <v>788.4</v>
      </c>
      <c r="P377" s="51" t="s">
        <v>1371</v>
      </c>
    </row>
    <row r="378" spans="1:16" x14ac:dyDescent="0.3">
      <c r="A378" s="16">
        <v>457</v>
      </c>
      <c r="B378" s="29" t="s">
        <v>511</v>
      </c>
      <c r="C378" s="29">
        <v>75437612</v>
      </c>
      <c r="D378" s="29" t="s">
        <v>481</v>
      </c>
      <c r="E378" s="44" t="s">
        <v>477</v>
      </c>
      <c r="F378" s="29" t="s">
        <v>996</v>
      </c>
      <c r="G378" s="122">
        <v>18</v>
      </c>
      <c r="H378" s="122">
        <v>0</v>
      </c>
      <c r="I378" s="123">
        <v>0</v>
      </c>
      <c r="J378" s="122">
        <v>0</v>
      </c>
      <c r="K378" s="122">
        <v>0</v>
      </c>
      <c r="L378" s="122">
        <v>0</v>
      </c>
      <c r="M378" s="123">
        <v>43.8</v>
      </c>
      <c r="N378" s="123">
        <v>56.7</v>
      </c>
      <c r="O378" s="124">
        <f t="shared" si="5"/>
        <v>788.4</v>
      </c>
      <c r="P378" s="51" t="s">
        <v>1371</v>
      </c>
    </row>
    <row r="379" spans="1:16" x14ac:dyDescent="0.3">
      <c r="A379" s="16">
        <v>21</v>
      </c>
      <c r="B379" s="29" t="s">
        <v>550</v>
      </c>
      <c r="C379" s="29">
        <v>75437613</v>
      </c>
      <c r="D379" s="29" t="s">
        <v>478</v>
      </c>
      <c r="E379" s="44" t="s">
        <v>477</v>
      </c>
      <c r="F379" s="29" t="s">
        <v>996</v>
      </c>
      <c r="G379" s="122">
        <v>18</v>
      </c>
      <c r="H379" s="122">
        <v>0</v>
      </c>
      <c r="I379" s="123">
        <v>0</v>
      </c>
      <c r="J379" s="122">
        <v>0</v>
      </c>
      <c r="K379" s="122">
        <v>0</v>
      </c>
      <c r="L379" s="122">
        <v>0</v>
      </c>
      <c r="M379" s="123">
        <v>43.8</v>
      </c>
      <c r="N379" s="123">
        <v>56.7</v>
      </c>
      <c r="O379" s="124">
        <f t="shared" si="5"/>
        <v>788.4</v>
      </c>
      <c r="P379" s="51" t="s">
        <v>1371</v>
      </c>
    </row>
    <row r="380" spans="1:16" x14ac:dyDescent="0.3">
      <c r="A380" s="16">
        <v>164</v>
      </c>
      <c r="B380" s="29" t="s">
        <v>555</v>
      </c>
      <c r="C380" s="29">
        <v>75437612</v>
      </c>
      <c r="D380" s="29" t="s">
        <v>481</v>
      </c>
      <c r="E380" s="44" t="s">
        <v>477</v>
      </c>
      <c r="F380" s="29" t="s">
        <v>996</v>
      </c>
      <c r="G380" s="122">
        <v>17</v>
      </c>
      <c r="H380" s="122">
        <v>0</v>
      </c>
      <c r="I380" s="123">
        <v>0</v>
      </c>
      <c r="J380" s="122">
        <v>0</v>
      </c>
      <c r="K380" s="122">
        <v>0</v>
      </c>
      <c r="L380" s="122">
        <v>0</v>
      </c>
      <c r="M380" s="123">
        <v>43.8</v>
      </c>
      <c r="N380" s="123">
        <v>56.7</v>
      </c>
      <c r="O380" s="124">
        <f t="shared" si="5"/>
        <v>744.59999999999991</v>
      </c>
      <c r="P380" s="51" t="s">
        <v>1371</v>
      </c>
    </row>
    <row r="381" spans="1:16" x14ac:dyDescent="0.3">
      <c r="A381" s="16">
        <v>4126</v>
      </c>
      <c r="B381" s="29" t="s">
        <v>547</v>
      </c>
      <c r="C381" s="29">
        <v>75437612</v>
      </c>
      <c r="D381" s="29" t="s">
        <v>481</v>
      </c>
      <c r="E381" s="44" t="s">
        <v>477</v>
      </c>
      <c r="F381" s="29" t="s">
        <v>996</v>
      </c>
      <c r="G381" s="122">
        <v>17</v>
      </c>
      <c r="H381" s="122">
        <v>0</v>
      </c>
      <c r="I381" s="123">
        <v>0</v>
      </c>
      <c r="J381" s="122">
        <v>0</v>
      </c>
      <c r="K381" s="122">
        <v>0</v>
      </c>
      <c r="L381" s="122">
        <v>0</v>
      </c>
      <c r="M381" s="123">
        <v>43.8</v>
      </c>
      <c r="N381" s="123">
        <v>56.7</v>
      </c>
      <c r="O381" s="124">
        <f t="shared" si="5"/>
        <v>744.59999999999991</v>
      </c>
      <c r="P381" s="51" t="s">
        <v>1371</v>
      </c>
    </row>
    <row r="382" spans="1:16" x14ac:dyDescent="0.3">
      <c r="A382" s="16">
        <v>4176</v>
      </c>
      <c r="B382" s="29" t="s">
        <v>536</v>
      </c>
      <c r="C382" s="29">
        <v>75437612</v>
      </c>
      <c r="D382" s="29" t="s">
        <v>481</v>
      </c>
      <c r="E382" s="44" t="s">
        <v>477</v>
      </c>
      <c r="F382" s="29" t="s">
        <v>996</v>
      </c>
      <c r="G382" s="122">
        <v>17</v>
      </c>
      <c r="H382" s="122">
        <v>0</v>
      </c>
      <c r="I382" s="123">
        <v>0</v>
      </c>
      <c r="J382" s="122">
        <v>0</v>
      </c>
      <c r="K382" s="122">
        <v>0</v>
      </c>
      <c r="L382" s="122">
        <v>0</v>
      </c>
      <c r="M382" s="123">
        <v>43.8</v>
      </c>
      <c r="N382" s="123">
        <v>56.7</v>
      </c>
      <c r="O382" s="124">
        <f t="shared" si="5"/>
        <v>744.59999999999991</v>
      </c>
      <c r="P382" s="51" t="s">
        <v>1371</v>
      </c>
    </row>
    <row r="383" spans="1:16" x14ac:dyDescent="0.3">
      <c r="A383" s="16">
        <v>491</v>
      </c>
      <c r="B383" s="29" t="s">
        <v>514</v>
      </c>
      <c r="C383" s="29">
        <v>75437613</v>
      </c>
      <c r="D383" s="29" t="s">
        <v>478</v>
      </c>
      <c r="E383" s="44" t="s">
        <v>477</v>
      </c>
      <c r="F383" s="29" t="s">
        <v>996</v>
      </c>
      <c r="G383" s="122">
        <v>16</v>
      </c>
      <c r="H383" s="122">
        <v>0</v>
      </c>
      <c r="I383" s="123">
        <v>0</v>
      </c>
      <c r="J383" s="122">
        <v>0</v>
      </c>
      <c r="K383" s="122">
        <v>0</v>
      </c>
      <c r="L383" s="122">
        <v>0</v>
      </c>
      <c r="M383" s="123">
        <v>43.8</v>
      </c>
      <c r="N383" s="123">
        <v>56.7</v>
      </c>
      <c r="O383" s="124">
        <f t="shared" si="5"/>
        <v>700.8</v>
      </c>
      <c r="P383" s="51" t="s">
        <v>1371</v>
      </c>
    </row>
    <row r="384" spans="1:16" x14ac:dyDescent="0.3">
      <c r="A384" s="16">
        <v>4414</v>
      </c>
      <c r="B384" s="29" t="s">
        <v>525</v>
      </c>
      <c r="C384" s="29">
        <v>75437617</v>
      </c>
      <c r="D384" s="29" t="s">
        <v>487</v>
      </c>
      <c r="E384" s="44" t="s">
        <v>477</v>
      </c>
      <c r="F384" s="29" t="s">
        <v>996</v>
      </c>
      <c r="G384" s="122">
        <v>16</v>
      </c>
      <c r="H384" s="122">
        <v>0</v>
      </c>
      <c r="I384" s="123">
        <v>0</v>
      </c>
      <c r="J384" s="122">
        <v>0</v>
      </c>
      <c r="K384" s="122">
        <v>0</v>
      </c>
      <c r="L384" s="122">
        <v>0</v>
      </c>
      <c r="M384" s="123">
        <v>16</v>
      </c>
      <c r="N384" s="123">
        <v>20.76</v>
      </c>
      <c r="O384" s="124">
        <f t="shared" si="5"/>
        <v>256</v>
      </c>
      <c r="P384" s="51" t="s">
        <v>1371</v>
      </c>
    </row>
    <row r="385" spans="1:16" x14ac:dyDescent="0.3">
      <c r="A385" s="16">
        <v>108</v>
      </c>
      <c r="B385" s="29" t="s">
        <v>512</v>
      </c>
      <c r="C385" s="29">
        <v>75437612</v>
      </c>
      <c r="D385" s="29" t="s">
        <v>481</v>
      </c>
      <c r="E385" s="44" t="s">
        <v>477</v>
      </c>
      <c r="F385" s="29" t="s">
        <v>996</v>
      </c>
      <c r="G385" s="122">
        <v>15</v>
      </c>
      <c r="H385" s="122">
        <v>0</v>
      </c>
      <c r="I385" s="123">
        <v>0</v>
      </c>
      <c r="J385" s="122">
        <v>0</v>
      </c>
      <c r="K385" s="122">
        <v>0</v>
      </c>
      <c r="L385" s="122">
        <v>0</v>
      </c>
      <c r="M385" s="123">
        <v>43.8</v>
      </c>
      <c r="N385" s="123">
        <v>56.7</v>
      </c>
      <c r="O385" s="124">
        <f t="shared" si="5"/>
        <v>657</v>
      </c>
      <c r="P385" s="51" t="s">
        <v>1371</v>
      </c>
    </row>
    <row r="386" spans="1:16" x14ac:dyDescent="0.3">
      <c r="A386" s="16">
        <v>4176</v>
      </c>
      <c r="B386" s="29" t="s">
        <v>536</v>
      </c>
      <c r="C386" s="29">
        <v>75437618</v>
      </c>
      <c r="D386" s="29" t="s">
        <v>484</v>
      </c>
      <c r="E386" s="44" t="s">
        <v>477</v>
      </c>
      <c r="F386" s="29" t="s">
        <v>996</v>
      </c>
      <c r="G386" s="122">
        <v>15</v>
      </c>
      <c r="H386" s="122">
        <v>0</v>
      </c>
      <c r="I386" s="123">
        <v>0</v>
      </c>
      <c r="J386" s="122">
        <v>0</v>
      </c>
      <c r="K386" s="122">
        <v>0</v>
      </c>
      <c r="L386" s="122">
        <v>0</v>
      </c>
      <c r="M386" s="123">
        <v>18.25</v>
      </c>
      <c r="N386" s="123">
        <v>23.66</v>
      </c>
      <c r="O386" s="124">
        <f t="shared" si="5"/>
        <v>273.75</v>
      </c>
      <c r="P386" s="51" t="s">
        <v>1371</v>
      </c>
    </row>
    <row r="387" spans="1:16" x14ac:dyDescent="0.3">
      <c r="A387" s="16">
        <v>344</v>
      </c>
      <c r="B387" s="29" t="s">
        <v>535</v>
      </c>
      <c r="C387" s="29">
        <v>75437612</v>
      </c>
      <c r="D387" s="29" t="s">
        <v>481</v>
      </c>
      <c r="E387" s="44" t="s">
        <v>477</v>
      </c>
      <c r="F387" s="29" t="s">
        <v>996</v>
      </c>
      <c r="G387" s="122">
        <v>13</v>
      </c>
      <c r="H387" s="122">
        <v>0</v>
      </c>
      <c r="I387" s="123">
        <v>0</v>
      </c>
      <c r="J387" s="122">
        <v>0</v>
      </c>
      <c r="K387" s="122">
        <v>0</v>
      </c>
      <c r="L387" s="122">
        <v>0</v>
      </c>
      <c r="M387" s="123">
        <v>43.8</v>
      </c>
      <c r="N387" s="123">
        <v>56.7</v>
      </c>
      <c r="O387" s="124">
        <f t="shared" si="5"/>
        <v>569.4</v>
      </c>
      <c r="P387" s="51" t="s">
        <v>1371</v>
      </c>
    </row>
    <row r="388" spans="1:16" x14ac:dyDescent="0.3">
      <c r="A388" s="16">
        <v>4414</v>
      </c>
      <c r="B388" s="29" t="s">
        <v>525</v>
      </c>
      <c r="C388" s="29">
        <v>75437612</v>
      </c>
      <c r="D388" s="29" t="s">
        <v>481</v>
      </c>
      <c r="E388" s="44" t="s">
        <v>477</v>
      </c>
      <c r="F388" s="29" t="s">
        <v>996</v>
      </c>
      <c r="G388" s="122">
        <v>13</v>
      </c>
      <c r="H388" s="122">
        <v>0</v>
      </c>
      <c r="I388" s="123">
        <v>0</v>
      </c>
      <c r="J388" s="122">
        <v>0</v>
      </c>
      <c r="K388" s="122">
        <v>0</v>
      </c>
      <c r="L388" s="122">
        <v>0</v>
      </c>
      <c r="M388" s="123">
        <v>43.8</v>
      </c>
      <c r="N388" s="123">
        <v>56.7</v>
      </c>
      <c r="O388" s="124">
        <f t="shared" ref="O388:O446" si="6">G388*M388</f>
        <v>569.4</v>
      </c>
      <c r="P388" s="51" t="s">
        <v>1371</v>
      </c>
    </row>
    <row r="389" spans="1:16" x14ac:dyDescent="0.3">
      <c r="A389" s="16">
        <v>20</v>
      </c>
      <c r="B389" s="29" t="s">
        <v>552</v>
      </c>
      <c r="C389" s="29">
        <v>75437613</v>
      </c>
      <c r="D389" s="29" t="s">
        <v>478</v>
      </c>
      <c r="E389" s="44" t="s">
        <v>477</v>
      </c>
      <c r="F389" s="29" t="s">
        <v>996</v>
      </c>
      <c r="G389" s="122">
        <v>13</v>
      </c>
      <c r="H389" s="122">
        <v>0</v>
      </c>
      <c r="I389" s="123">
        <v>0</v>
      </c>
      <c r="J389" s="122">
        <v>0</v>
      </c>
      <c r="K389" s="122">
        <v>0</v>
      </c>
      <c r="L389" s="122">
        <v>0</v>
      </c>
      <c r="M389" s="123">
        <v>43.8</v>
      </c>
      <c r="N389" s="123">
        <v>56.7</v>
      </c>
      <c r="O389" s="124">
        <f t="shared" si="6"/>
        <v>569.4</v>
      </c>
      <c r="P389" s="51" t="s">
        <v>1371</v>
      </c>
    </row>
    <row r="390" spans="1:16" x14ac:dyDescent="0.3">
      <c r="A390" s="16">
        <v>4087</v>
      </c>
      <c r="B390" s="29" t="s">
        <v>532</v>
      </c>
      <c r="C390" s="29">
        <v>75437615</v>
      </c>
      <c r="D390" s="29" t="s">
        <v>476</v>
      </c>
      <c r="E390" s="44" t="s">
        <v>477</v>
      </c>
      <c r="F390" s="29" t="s">
        <v>995</v>
      </c>
      <c r="G390" s="122">
        <v>13</v>
      </c>
      <c r="H390" s="122">
        <v>0</v>
      </c>
      <c r="I390" s="123">
        <v>0</v>
      </c>
      <c r="J390" s="122">
        <v>0</v>
      </c>
      <c r="K390" s="122">
        <v>0</v>
      </c>
      <c r="L390" s="122">
        <v>0</v>
      </c>
      <c r="M390" s="123">
        <v>16</v>
      </c>
      <c r="N390" s="123">
        <v>20.76</v>
      </c>
      <c r="O390" s="124">
        <f t="shared" si="6"/>
        <v>208</v>
      </c>
      <c r="P390" s="51" t="s">
        <v>1371</v>
      </c>
    </row>
    <row r="391" spans="1:16" x14ac:dyDescent="0.3">
      <c r="A391" s="16">
        <v>4037</v>
      </c>
      <c r="B391" s="29" t="s">
        <v>517</v>
      </c>
      <c r="C391" s="29">
        <v>75437620</v>
      </c>
      <c r="D391" s="29" t="s">
        <v>486</v>
      </c>
      <c r="E391" s="44" t="s">
        <v>477</v>
      </c>
      <c r="F391" s="29" t="s">
        <v>996</v>
      </c>
      <c r="G391" s="122">
        <v>13</v>
      </c>
      <c r="H391" s="122">
        <v>0</v>
      </c>
      <c r="I391" s="123">
        <v>0</v>
      </c>
      <c r="J391" s="122">
        <v>0</v>
      </c>
      <c r="K391" s="122">
        <v>0</v>
      </c>
      <c r="L391" s="122">
        <v>0</v>
      </c>
      <c r="M391" s="123">
        <v>18.25</v>
      </c>
      <c r="N391" s="123">
        <v>23.66</v>
      </c>
      <c r="O391" s="124">
        <f t="shared" si="6"/>
        <v>237.25</v>
      </c>
      <c r="P391" s="51" t="s">
        <v>1371</v>
      </c>
    </row>
    <row r="392" spans="1:16" x14ac:dyDescent="0.3">
      <c r="A392" s="16">
        <v>4087</v>
      </c>
      <c r="B392" s="29" t="s">
        <v>532</v>
      </c>
      <c r="C392" s="29">
        <v>75437620</v>
      </c>
      <c r="D392" s="29" t="s">
        <v>486</v>
      </c>
      <c r="E392" s="44" t="s">
        <v>477</v>
      </c>
      <c r="F392" s="29" t="s">
        <v>996</v>
      </c>
      <c r="G392" s="122">
        <v>13</v>
      </c>
      <c r="H392" s="122">
        <v>0</v>
      </c>
      <c r="I392" s="123">
        <v>0</v>
      </c>
      <c r="J392" s="122">
        <v>0</v>
      </c>
      <c r="K392" s="122">
        <v>0</v>
      </c>
      <c r="L392" s="122">
        <v>0</v>
      </c>
      <c r="M392" s="123">
        <v>18.25</v>
      </c>
      <c r="N392" s="123">
        <v>23.66</v>
      </c>
      <c r="O392" s="124">
        <f t="shared" si="6"/>
        <v>237.25</v>
      </c>
      <c r="P392" s="51" t="s">
        <v>1371</v>
      </c>
    </row>
    <row r="393" spans="1:16" x14ac:dyDescent="0.3">
      <c r="A393" s="16">
        <v>344</v>
      </c>
      <c r="B393" s="29" t="s">
        <v>535</v>
      </c>
      <c r="C393" s="29">
        <v>75437613</v>
      </c>
      <c r="D393" s="29" t="s">
        <v>478</v>
      </c>
      <c r="E393" s="44" t="s">
        <v>477</v>
      </c>
      <c r="F393" s="29" t="s">
        <v>996</v>
      </c>
      <c r="G393" s="122">
        <v>11</v>
      </c>
      <c r="H393" s="122">
        <v>0</v>
      </c>
      <c r="I393" s="123">
        <v>0</v>
      </c>
      <c r="J393" s="122">
        <v>0</v>
      </c>
      <c r="K393" s="122">
        <v>0</v>
      </c>
      <c r="L393" s="122">
        <v>0</v>
      </c>
      <c r="M393" s="123">
        <v>43.8</v>
      </c>
      <c r="N393" s="123">
        <v>56.7</v>
      </c>
      <c r="O393" s="124">
        <f t="shared" si="6"/>
        <v>481.79999999999995</v>
      </c>
      <c r="P393" s="51" t="s">
        <v>1371</v>
      </c>
    </row>
    <row r="394" spans="1:16" x14ac:dyDescent="0.3">
      <c r="A394" s="16">
        <v>4176</v>
      </c>
      <c r="B394" s="29" t="s">
        <v>536</v>
      </c>
      <c r="C394" s="29">
        <v>75437613</v>
      </c>
      <c r="D394" s="29" t="s">
        <v>478</v>
      </c>
      <c r="E394" s="44" t="s">
        <v>477</v>
      </c>
      <c r="F394" s="29" t="s">
        <v>996</v>
      </c>
      <c r="G394" s="122">
        <v>11</v>
      </c>
      <c r="H394" s="122">
        <v>0</v>
      </c>
      <c r="I394" s="123">
        <v>0</v>
      </c>
      <c r="J394" s="122">
        <v>0</v>
      </c>
      <c r="K394" s="122">
        <v>0</v>
      </c>
      <c r="L394" s="122">
        <v>0</v>
      </c>
      <c r="M394" s="123">
        <v>43.8</v>
      </c>
      <c r="N394" s="123">
        <v>56.7</v>
      </c>
      <c r="O394" s="124">
        <f t="shared" si="6"/>
        <v>481.79999999999995</v>
      </c>
      <c r="P394" s="51" t="s">
        <v>1371</v>
      </c>
    </row>
    <row r="395" spans="1:16" x14ac:dyDescent="0.3">
      <c r="A395" s="16">
        <v>4317</v>
      </c>
      <c r="B395" s="29" t="s">
        <v>540</v>
      </c>
      <c r="C395" s="29">
        <v>75437612</v>
      </c>
      <c r="D395" s="29" t="s">
        <v>481</v>
      </c>
      <c r="E395" s="44" t="s">
        <v>477</v>
      </c>
      <c r="F395" s="29" t="s">
        <v>996</v>
      </c>
      <c r="G395" s="122">
        <v>10</v>
      </c>
      <c r="H395" s="122">
        <v>0</v>
      </c>
      <c r="I395" s="123">
        <v>0</v>
      </c>
      <c r="J395" s="122">
        <v>0</v>
      </c>
      <c r="K395" s="122">
        <v>0</v>
      </c>
      <c r="L395" s="122">
        <v>0</v>
      </c>
      <c r="M395" s="123">
        <v>43.8</v>
      </c>
      <c r="N395" s="123">
        <v>56.7</v>
      </c>
      <c r="O395" s="124">
        <f t="shared" si="6"/>
        <v>438</v>
      </c>
      <c r="P395" s="51" t="s">
        <v>1371</v>
      </c>
    </row>
    <row r="396" spans="1:16" x14ac:dyDescent="0.3">
      <c r="A396" s="16">
        <v>4370</v>
      </c>
      <c r="B396" s="29" t="s">
        <v>542</v>
      </c>
      <c r="C396" s="29">
        <v>75437612</v>
      </c>
      <c r="D396" s="29" t="s">
        <v>481</v>
      </c>
      <c r="E396" s="44" t="s">
        <v>477</v>
      </c>
      <c r="F396" s="29" t="s">
        <v>996</v>
      </c>
      <c r="G396" s="122">
        <v>10</v>
      </c>
      <c r="H396" s="122">
        <v>0</v>
      </c>
      <c r="I396" s="123">
        <v>0</v>
      </c>
      <c r="J396" s="122">
        <v>0</v>
      </c>
      <c r="K396" s="122">
        <v>0</v>
      </c>
      <c r="L396" s="122">
        <v>0</v>
      </c>
      <c r="M396" s="123">
        <v>43.8</v>
      </c>
      <c r="N396" s="123">
        <v>56.7</v>
      </c>
      <c r="O396" s="124">
        <f t="shared" si="6"/>
        <v>438</v>
      </c>
      <c r="P396" s="51" t="s">
        <v>1371</v>
      </c>
    </row>
    <row r="397" spans="1:16" x14ac:dyDescent="0.3">
      <c r="A397" s="16">
        <v>47</v>
      </c>
      <c r="B397" s="29" t="s">
        <v>516</v>
      </c>
      <c r="C397" s="29">
        <v>75437613</v>
      </c>
      <c r="D397" s="29" t="s">
        <v>478</v>
      </c>
      <c r="E397" s="44" t="s">
        <v>477</v>
      </c>
      <c r="F397" s="29" t="s">
        <v>996</v>
      </c>
      <c r="G397" s="122">
        <v>10</v>
      </c>
      <c r="H397" s="122">
        <v>0</v>
      </c>
      <c r="I397" s="123">
        <v>0</v>
      </c>
      <c r="J397" s="122">
        <v>0</v>
      </c>
      <c r="K397" s="122">
        <v>0</v>
      </c>
      <c r="L397" s="122">
        <v>0</v>
      </c>
      <c r="M397" s="123">
        <v>43.8</v>
      </c>
      <c r="N397" s="123">
        <v>56.7</v>
      </c>
      <c r="O397" s="124">
        <f t="shared" si="6"/>
        <v>438</v>
      </c>
      <c r="P397" s="51" t="s">
        <v>1371</v>
      </c>
    </row>
    <row r="398" spans="1:16" x14ac:dyDescent="0.3">
      <c r="A398" s="16">
        <v>419</v>
      </c>
      <c r="B398" s="29" t="s">
        <v>534</v>
      </c>
      <c r="C398" s="29">
        <v>75437613</v>
      </c>
      <c r="D398" s="29" t="s">
        <v>478</v>
      </c>
      <c r="E398" s="44" t="s">
        <v>477</v>
      </c>
      <c r="F398" s="29" t="s">
        <v>996</v>
      </c>
      <c r="G398" s="122">
        <v>9</v>
      </c>
      <c r="H398" s="122">
        <v>0</v>
      </c>
      <c r="I398" s="123">
        <v>0</v>
      </c>
      <c r="J398" s="122">
        <v>0</v>
      </c>
      <c r="K398" s="122">
        <v>0</v>
      </c>
      <c r="L398" s="122">
        <v>0</v>
      </c>
      <c r="M398" s="123">
        <v>43.8</v>
      </c>
      <c r="N398" s="123">
        <v>56.7</v>
      </c>
      <c r="O398" s="124">
        <f t="shared" si="6"/>
        <v>394.2</v>
      </c>
      <c r="P398" s="51" t="s">
        <v>1371</v>
      </c>
    </row>
    <row r="399" spans="1:16" x14ac:dyDescent="0.3">
      <c r="A399" s="16">
        <v>4317</v>
      </c>
      <c r="B399" s="29" t="s">
        <v>540</v>
      </c>
      <c r="C399" s="29">
        <v>75437613</v>
      </c>
      <c r="D399" s="29" t="s">
        <v>478</v>
      </c>
      <c r="E399" s="44" t="s">
        <v>477</v>
      </c>
      <c r="F399" s="29" t="s">
        <v>996</v>
      </c>
      <c r="G399" s="122">
        <v>9</v>
      </c>
      <c r="H399" s="122">
        <v>0</v>
      </c>
      <c r="I399" s="123">
        <v>0</v>
      </c>
      <c r="J399" s="122">
        <v>0</v>
      </c>
      <c r="K399" s="122">
        <v>0</v>
      </c>
      <c r="L399" s="122">
        <v>0</v>
      </c>
      <c r="M399" s="123">
        <v>43.8</v>
      </c>
      <c r="N399" s="123">
        <v>56.7</v>
      </c>
      <c r="O399" s="124">
        <f t="shared" si="6"/>
        <v>394.2</v>
      </c>
      <c r="P399" s="51" t="s">
        <v>1371</v>
      </c>
    </row>
    <row r="400" spans="1:16" x14ac:dyDescent="0.3">
      <c r="A400" s="16">
        <v>727</v>
      </c>
      <c r="B400" s="29" t="s">
        <v>518</v>
      </c>
      <c r="C400" s="29">
        <v>75437613</v>
      </c>
      <c r="D400" s="29" t="s">
        <v>478</v>
      </c>
      <c r="E400" s="44" t="s">
        <v>477</v>
      </c>
      <c r="F400" s="29" t="s">
        <v>996</v>
      </c>
      <c r="G400" s="122">
        <v>8</v>
      </c>
      <c r="H400" s="122">
        <v>0</v>
      </c>
      <c r="I400" s="123">
        <v>0</v>
      </c>
      <c r="J400" s="122">
        <v>0</v>
      </c>
      <c r="K400" s="122">
        <v>0</v>
      </c>
      <c r="L400" s="122">
        <v>0</v>
      </c>
      <c r="M400" s="123">
        <v>43.8</v>
      </c>
      <c r="N400" s="123">
        <v>56.7</v>
      </c>
      <c r="O400" s="124">
        <f t="shared" si="6"/>
        <v>350.4</v>
      </c>
      <c r="P400" s="51" t="s">
        <v>1371</v>
      </c>
    </row>
    <row r="401" spans="1:16" x14ac:dyDescent="0.3">
      <c r="A401" s="16">
        <v>4126</v>
      </c>
      <c r="B401" s="29" t="s">
        <v>547</v>
      </c>
      <c r="C401" s="29">
        <v>75437613</v>
      </c>
      <c r="D401" s="29" t="s">
        <v>478</v>
      </c>
      <c r="E401" s="44" t="s">
        <v>477</v>
      </c>
      <c r="F401" s="29" t="s">
        <v>996</v>
      </c>
      <c r="G401" s="122">
        <v>8</v>
      </c>
      <c r="H401" s="122">
        <v>0</v>
      </c>
      <c r="I401" s="123">
        <v>0</v>
      </c>
      <c r="J401" s="122">
        <v>0</v>
      </c>
      <c r="K401" s="122">
        <v>0</v>
      </c>
      <c r="L401" s="122">
        <v>0</v>
      </c>
      <c r="M401" s="123">
        <v>43.8</v>
      </c>
      <c r="N401" s="123">
        <v>56.7</v>
      </c>
      <c r="O401" s="124">
        <f t="shared" si="6"/>
        <v>350.4</v>
      </c>
      <c r="P401" s="51" t="s">
        <v>1371</v>
      </c>
    </row>
    <row r="402" spans="1:16" x14ac:dyDescent="0.3">
      <c r="A402" s="16">
        <v>4414</v>
      </c>
      <c r="B402" s="29" t="s">
        <v>525</v>
      </c>
      <c r="C402" s="29">
        <v>75437613</v>
      </c>
      <c r="D402" s="29" t="s">
        <v>478</v>
      </c>
      <c r="E402" s="44" t="s">
        <v>477</v>
      </c>
      <c r="F402" s="29" t="s">
        <v>996</v>
      </c>
      <c r="G402" s="122">
        <v>8</v>
      </c>
      <c r="H402" s="122">
        <v>0</v>
      </c>
      <c r="I402" s="123">
        <v>0</v>
      </c>
      <c r="J402" s="122">
        <v>0</v>
      </c>
      <c r="K402" s="122">
        <v>0</v>
      </c>
      <c r="L402" s="122">
        <v>0</v>
      </c>
      <c r="M402" s="123">
        <v>43.8</v>
      </c>
      <c r="N402" s="123">
        <v>56.7</v>
      </c>
      <c r="O402" s="124">
        <f t="shared" si="6"/>
        <v>350.4</v>
      </c>
      <c r="P402" s="51" t="s">
        <v>1371</v>
      </c>
    </row>
    <row r="403" spans="1:16" x14ac:dyDescent="0.3">
      <c r="A403" s="16">
        <v>419</v>
      </c>
      <c r="B403" s="29" t="s">
        <v>534</v>
      </c>
      <c r="C403" s="29">
        <v>75437615</v>
      </c>
      <c r="D403" s="29" t="s">
        <v>476</v>
      </c>
      <c r="E403" s="44" t="s">
        <v>477</v>
      </c>
      <c r="F403" s="29" t="s">
        <v>995</v>
      </c>
      <c r="G403" s="122">
        <v>8</v>
      </c>
      <c r="H403" s="122">
        <v>0</v>
      </c>
      <c r="I403" s="123">
        <v>0</v>
      </c>
      <c r="J403" s="122">
        <v>0</v>
      </c>
      <c r="K403" s="122">
        <v>0</v>
      </c>
      <c r="L403" s="122">
        <v>0</v>
      </c>
      <c r="M403" s="123">
        <v>16</v>
      </c>
      <c r="N403" s="123">
        <v>20.76</v>
      </c>
      <c r="O403" s="124">
        <f t="shared" si="6"/>
        <v>128</v>
      </c>
      <c r="P403" s="51" t="s">
        <v>1371</v>
      </c>
    </row>
    <row r="404" spans="1:16" x14ac:dyDescent="0.3">
      <c r="A404" s="16">
        <v>4414</v>
      </c>
      <c r="B404" s="29" t="s">
        <v>525</v>
      </c>
      <c r="C404" s="29">
        <v>75437615</v>
      </c>
      <c r="D404" s="29" t="s">
        <v>476</v>
      </c>
      <c r="E404" s="44" t="s">
        <v>477</v>
      </c>
      <c r="F404" s="29" t="s">
        <v>995</v>
      </c>
      <c r="G404" s="122">
        <v>8</v>
      </c>
      <c r="H404" s="122">
        <v>0</v>
      </c>
      <c r="I404" s="123">
        <v>0</v>
      </c>
      <c r="J404" s="122">
        <v>0</v>
      </c>
      <c r="K404" s="122">
        <v>0</v>
      </c>
      <c r="L404" s="122">
        <v>0</v>
      </c>
      <c r="M404" s="123">
        <v>16</v>
      </c>
      <c r="N404" s="123">
        <v>20.76</v>
      </c>
      <c r="O404" s="124">
        <f t="shared" si="6"/>
        <v>128</v>
      </c>
      <c r="P404" s="51" t="s">
        <v>1371</v>
      </c>
    </row>
    <row r="405" spans="1:16" x14ac:dyDescent="0.3">
      <c r="A405" s="16">
        <v>419</v>
      </c>
      <c r="B405" s="29" t="s">
        <v>534</v>
      </c>
      <c r="C405" s="29">
        <v>75437617</v>
      </c>
      <c r="D405" s="29" t="s">
        <v>487</v>
      </c>
      <c r="E405" s="44" t="s">
        <v>477</v>
      </c>
      <c r="F405" s="29" t="s">
        <v>996</v>
      </c>
      <c r="G405" s="122">
        <v>8</v>
      </c>
      <c r="H405" s="122">
        <v>0</v>
      </c>
      <c r="I405" s="123">
        <v>0</v>
      </c>
      <c r="J405" s="122">
        <v>0</v>
      </c>
      <c r="K405" s="122">
        <v>0</v>
      </c>
      <c r="L405" s="122">
        <v>0</v>
      </c>
      <c r="M405" s="123">
        <v>16</v>
      </c>
      <c r="N405" s="123">
        <v>20.76</v>
      </c>
      <c r="O405" s="124">
        <f t="shared" si="6"/>
        <v>128</v>
      </c>
      <c r="P405" s="51" t="s">
        <v>1371</v>
      </c>
    </row>
    <row r="406" spans="1:16" x14ac:dyDescent="0.3">
      <c r="A406" s="16">
        <v>4126</v>
      </c>
      <c r="B406" s="29" t="s">
        <v>547</v>
      </c>
      <c r="C406" s="29">
        <v>75437618</v>
      </c>
      <c r="D406" s="29" t="s">
        <v>484</v>
      </c>
      <c r="E406" s="44" t="s">
        <v>477</v>
      </c>
      <c r="F406" s="29" t="s">
        <v>996</v>
      </c>
      <c r="G406" s="122">
        <v>8</v>
      </c>
      <c r="H406" s="122">
        <v>0</v>
      </c>
      <c r="I406" s="123">
        <v>0</v>
      </c>
      <c r="J406" s="122">
        <v>0</v>
      </c>
      <c r="K406" s="122">
        <v>0</v>
      </c>
      <c r="L406" s="122">
        <v>0</v>
      </c>
      <c r="M406" s="123">
        <v>18.25</v>
      </c>
      <c r="N406" s="123">
        <v>23.66</v>
      </c>
      <c r="O406" s="124">
        <f t="shared" si="6"/>
        <v>146</v>
      </c>
      <c r="P406" s="51" t="s">
        <v>1371</v>
      </c>
    </row>
    <row r="407" spans="1:16" x14ac:dyDescent="0.3">
      <c r="A407" s="16">
        <v>4087</v>
      </c>
      <c r="B407" s="29" t="s">
        <v>532</v>
      </c>
      <c r="C407" s="29">
        <v>75437613</v>
      </c>
      <c r="D407" s="29" t="s">
        <v>478</v>
      </c>
      <c r="E407" s="44" t="s">
        <v>477</v>
      </c>
      <c r="F407" s="29" t="s">
        <v>996</v>
      </c>
      <c r="G407" s="122">
        <v>6</v>
      </c>
      <c r="H407" s="122">
        <v>0</v>
      </c>
      <c r="I407" s="123">
        <v>0</v>
      </c>
      <c r="J407" s="122">
        <v>0</v>
      </c>
      <c r="K407" s="122">
        <v>0</v>
      </c>
      <c r="L407" s="122">
        <v>0</v>
      </c>
      <c r="M407" s="123">
        <v>43.8</v>
      </c>
      <c r="N407" s="123">
        <v>56.7</v>
      </c>
      <c r="O407" s="124">
        <f t="shared" si="6"/>
        <v>262.79999999999995</v>
      </c>
      <c r="P407" s="51" t="s">
        <v>1371</v>
      </c>
    </row>
    <row r="408" spans="1:16" x14ac:dyDescent="0.3">
      <c r="A408" s="16">
        <v>4317</v>
      </c>
      <c r="B408" s="29" t="s">
        <v>540</v>
      </c>
      <c r="C408" s="29">
        <v>75437615</v>
      </c>
      <c r="D408" s="29" t="s">
        <v>476</v>
      </c>
      <c r="E408" s="44" t="s">
        <v>477</v>
      </c>
      <c r="F408" s="29" t="s">
        <v>995</v>
      </c>
      <c r="G408" s="122">
        <v>6</v>
      </c>
      <c r="H408" s="122">
        <v>0</v>
      </c>
      <c r="I408" s="123">
        <v>0</v>
      </c>
      <c r="J408" s="122">
        <v>0</v>
      </c>
      <c r="K408" s="122">
        <v>0</v>
      </c>
      <c r="L408" s="122">
        <v>0</v>
      </c>
      <c r="M408" s="123">
        <v>16</v>
      </c>
      <c r="N408" s="123">
        <v>20.76</v>
      </c>
      <c r="O408" s="124">
        <f t="shared" si="6"/>
        <v>96</v>
      </c>
      <c r="P408" s="51" t="s">
        <v>1371</v>
      </c>
    </row>
    <row r="409" spans="1:16" x14ac:dyDescent="0.3">
      <c r="A409" s="16">
        <v>4317</v>
      </c>
      <c r="B409" s="29" t="s">
        <v>540</v>
      </c>
      <c r="C409" s="29">
        <v>75437620</v>
      </c>
      <c r="D409" s="29" t="s">
        <v>486</v>
      </c>
      <c r="E409" s="44" t="s">
        <v>477</v>
      </c>
      <c r="F409" s="29" t="s">
        <v>996</v>
      </c>
      <c r="G409" s="122">
        <v>6</v>
      </c>
      <c r="H409" s="122">
        <v>0</v>
      </c>
      <c r="I409" s="123">
        <v>0</v>
      </c>
      <c r="J409" s="122">
        <v>0</v>
      </c>
      <c r="K409" s="122">
        <v>0</v>
      </c>
      <c r="L409" s="122">
        <v>0</v>
      </c>
      <c r="M409" s="123">
        <v>18.25</v>
      </c>
      <c r="N409" s="123">
        <v>23.66</v>
      </c>
      <c r="O409" s="124">
        <f t="shared" si="6"/>
        <v>109.5</v>
      </c>
      <c r="P409" s="51" t="s">
        <v>1371</v>
      </c>
    </row>
    <row r="410" spans="1:16" x14ac:dyDescent="0.3">
      <c r="A410" s="16">
        <v>20</v>
      </c>
      <c r="B410" s="29" t="s">
        <v>552</v>
      </c>
      <c r="C410" s="29">
        <v>75437615</v>
      </c>
      <c r="D410" s="29" t="s">
        <v>476</v>
      </c>
      <c r="E410" s="44" t="s">
        <v>477</v>
      </c>
      <c r="F410" s="29" t="s">
        <v>995</v>
      </c>
      <c r="G410" s="122">
        <v>4</v>
      </c>
      <c r="H410" s="122">
        <v>0</v>
      </c>
      <c r="I410" s="123">
        <v>0</v>
      </c>
      <c r="J410" s="122">
        <v>0</v>
      </c>
      <c r="K410" s="122">
        <v>0</v>
      </c>
      <c r="L410" s="122">
        <v>0</v>
      </c>
      <c r="M410" s="123">
        <v>16</v>
      </c>
      <c r="N410" s="123">
        <v>20.76</v>
      </c>
      <c r="O410" s="124">
        <f t="shared" si="6"/>
        <v>64</v>
      </c>
      <c r="P410" s="51" t="s">
        <v>1371</v>
      </c>
    </row>
    <row r="411" spans="1:16" x14ac:dyDescent="0.3">
      <c r="A411" s="16">
        <v>4176</v>
      </c>
      <c r="B411" s="29" t="s">
        <v>536</v>
      </c>
      <c r="C411" s="29">
        <v>75437617</v>
      </c>
      <c r="D411" s="29" t="s">
        <v>487</v>
      </c>
      <c r="E411" s="44" t="s">
        <v>477</v>
      </c>
      <c r="F411" s="29" t="s">
        <v>996</v>
      </c>
      <c r="G411" s="122">
        <v>3</v>
      </c>
      <c r="H411" s="122">
        <v>0</v>
      </c>
      <c r="I411" s="123">
        <v>0</v>
      </c>
      <c r="J411" s="122">
        <v>0</v>
      </c>
      <c r="K411" s="122">
        <v>0</v>
      </c>
      <c r="L411" s="122">
        <v>0</v>
      </c>
      <c r="M411" s="123">
        <v>16</v>
      </c>
      <c r="N411" s="123">
        <v>20.76</v>
      </c>
      <c r="O411" s="124">
        <f t="shared" si="6"/>
        <v>48</v>
      </c>
      <c r="P411" s="51" t="s">
        <v>1371</v>
      </c>
    </row>
    <row r="412" spans="1:16" x14ac:dyDescent="0.3">
      <c r="A412" s="16">
        <v>460</v>
      </c>
      <c r="B412" s="29" t="s">
        <v>546</v>
      </c>
      <c r="C412" s="29">
        <v>75437615</v>
      </c>
      <c r="D412" s="29" t="s">
        <v>476</v>
      </c>
      <c r="E412" s="44" t="s">
        <v>477</v>
      </c>
      <c r="F412" s="29" t="s">
        <v>995</v>
      </c>
      <c r="G412" s="122">
        <v>1</v>
      </c>
      <c r="H412" s="122">
        <v>0</v>
      </c>
      <c r="I412" s="123">
        <v>0</v>
      </c>
      <c r="J412" s="122">
        <v>0</v>
      </c>
      <c r="K412" s="122">
        <v>20</v>
      </c>
      <c r="L412" s="122">
        <v>0</v>
      </c>
      <c r="M412" s="123">
        <v>16</v>
      </c>
      <c r="N412" s="123">
        <v>20.76</v>
      </c>
      <c r="O412" s="124">
        <f t="shared" si="6"/>
        <v>16</v>
      </c>
      <c r="P412" s="51" t="s">
        <v>1371</v>
      </c>
    </row>
    <row r="413" spans="1:16" x14ac:dyDescent="0.3">
      <c r="A413" s="16">
        <v>4370</v>
      </c>
      <c r="B413" s="29" t="s">
        <v>542</v>
      </c>
      <c r="C413" s="29">
        <v>75437615</v>
      </c>
      <c r="D413" s="29" t="s">
        <v>476</v>
      </c>
      <c r="E413" s="44" t="s">
        <v>477</v>
      </c>
      <c r="F413" s="29" t="s">
        <v>995</v>
      </c>
      <c r="G413" s="122">
        <v>1</v>
      </c>
      <c r="H413" s="122">
        <v>0</v>
      </c>
      <c r="I413" s="123">
        <v>0</v>
      </c>
      <c r="J413" s="122">
        <v>0</v>
      </c>
      <c r="K413" s="122">
        <v>0</v>
      </c>
      <c r="L413" s="122">
        <v>0</v>
      </c>
      <c r="M413" s="123">
        <v>16</v>
      </c>
      <c r="N413" s="123">
        <v>20.76</v>
      </c>
      <c r="O413" s="124">
        <f t="shared" si="6"/>
        <v>16</v>
      </c>
      <c r="P413" s="51" t="s">
        <v>1371</v>
      </c>
    </row>
    <row r="414" spans="1:16" x14ac:dyDescent="0.3">
      <c r="A414" s="16">
        <v>180</v>
      </c>
      <c r="B414" s="29" t="s">
        <v>528</v>
      </c>
      <c r="C414" s="29">
        <v>75437613</v>
      </c>
      <c r="D414" s="29" t="s">
        <v>478</v>
      </c>
      <c r="E414" s="44" t="s">
        <v>477</v>
      </c>
      <c r="F414" s="29" t="s">
        <v>996</v>
      </c>
      <c r="G414" s="122">
        <v>39</v>
      </c>
      <c r="H414" s="122">
        <v>1</v>
      </c>
      <c r="I414" s="123">
        <v>56.96</v>
      </c>
      <c r="J414" s="122">
        <v>0</v>
      </c>
      <c r="K414" s="122">
        <v>0</v>
      </c>
      <c r="L414" s="122">
        <v>0</v>
      </c>
      <c r="M414" s="123">
        <v>43.8</v>
      </c>
      <c r="N414" s="123">
        <v>56.7</v>
      </c>
      <c r="O414" s="124">
        <f t="shared" si="6"/>
        <v>1708.1999999999998</v>
      </c>
      <c r="P414" s="43" t="s">
        <v>1372</v>
      </c>
    </row>
    <row r="415" spans="1:16" x14ac:dyDescent="0.3">
      <c r="A415" s="16">
        <v>24</v>
      </c>
      <c r="B415" s="29" t="s">
        <v>543</v>
      </c>
      <c r="C415" s="29">
        <v>75437615</v>
      </c>
      <c r="D415" s="29" t="s">
        <v>476</v>
      </c>
      <c r="E415" s="44" t="s">
        <v>477</v>
      </c>
      <c r="F415" s="29" t="s">
        <v>995</v>
      </c>
      <c r="G415" s="122">
        <v>34</v>
      </c>
      <c r="H415" s="122">
        <v>2</v>
      </c>
      <c r="I415" s="123">
        <v>26.78</v>
      </c>
      <c r="J415" s="122">
        <v>0</v>
      </c>
      <c r="K415" s="122">
        <v>0</v>
      </c>
      <c r="L415" s="122">
        <v>0</v>
      </c>
      <c r="M415" s="123">
        <v>16</v>
      </c>
      <c r="N415" s="123">
        <v>20.76</v>
      </c>
      <c r="O415" s="124">
        <f t="shared" si="6"/>
        <v>544</v>
      </c>
      <c r="P415" s="43" t="s">
        <v>1372</v>
      </c>
    </row>
    <row r="416" spans="1:16" x14ac:dyDescent="0.3">
      <c r="A416" s="16">
        <v>33</v>
      </c>
      <c r="B416" s="29" t="s">
        <v>526</v>
      </c>
      <c r="C416" s="29">
        <v>75437615</v>
      </c>
      <c r="D416" s="29" t="s">
        <v>476</v>
      </c>
      <c r="E416" s="44" t="s">
        <v>477</v>
      </c>
      <c r="F416" s="29" t="s">
        <v>995</v>
      </c>
      <c r="G416" s="122">
        <v>19</v>
      </c>
      <c r="H416" s="122">
        <v>1</v>
      </c>
      <c r="I416" s="123">
        <v>20.8</v>
      </c>
      <c r="J416" s="122">
        <v>0</v>
      </c>
      <c r="K416" s="122">
        <v>0</v>
      </c>
      <c r="L416" s="122">
        <v>0</v>
      </c>
      <c r="M416" s="123">
        <v>16</v>
      </c>
      <c r="N416" s="123">
        <v>20.76</v>
      </c>
      <c r="O416" s="124">
        <f t="shared" si="6"/>
        <v>304</v>
      </c>
      <c r="P416" s="43" t="s">
        <v>1372</v>
      </c>
    </row>
    <row r="417" spans="1:16" x14ac:dyDescent="0.3">
      <c r="A417" s="16">
        <v>33</v>
      </c>
      <c r="B417" s="29" t="s">
        <v>526</v>
      </c>
      <c r="C417" s="29">
        <v>75437613</v>
      </c>
      <c r="D417" s="29" t="s">
        <v>478</v>
      </c>
      <c r="E417" s="44" t="s">
        <v>477</v>
      </c>
      <c r="F417" s="29" t="s">
        <v>996</v>
      </c>
      <c r="G417" s="122">
        <v>17</v>
      </c>
      <c r="H417" s="122">
        <v>1</v>
      </c>
      <c r="I417" s="123">
        <v>56.96</v>
      </c>
      <c r="J417" s="122">
        <v>0</v>
      </c>
      <c r="K417" s="122">
        <v>0</v>
      </c>
      <c r="L417" s="122">
        <v>0</v>
      </c>
      <c r="M417" s="123">
        <v>43.8</v>
      </c>
      <c r="N417" s="123">
        <v>56.7</v>
      </c>
      <c r="O417" s="124">
        <f t="shared" si="6"/>
        <v>744.59999999999991</v>
      </c>
      <c r="P417" s="43" t="s">
        <v>1372</v>
      </c>
    </row>
    <row r="418" spans="1:16" x14ac:dyDescent="0.3">
      <c r="A418" s="16">
        <v>169</v>
      </c>
      <c r="B418" s="29" t="s">
        <v>531</v>
      </c>
      <c r="C418" s="29">
        <v>75437613</v>
      </c>
      <c r="D418" s="29" t="s">
        <v>478</v>
      </c>
      <c r="E418" s="44" t="s">
        <v>477</v>
      </c>
      <c r="F418" s="29" t="s">
        <v>996</v>
      </c>
      <c r="G418" s="122">
        <v>17</v>
      </c>
      <c r="H418" s="122">
        <v>3</v>
      </c>
      <c r="I418" s="123">
        <v>170.88</v>
      </c>
      <c r="J418" s="122">
        <v>0</v>
      </c>
      <c r="K418" s="122">
        <v>0</v>
      </c>
      <c r="L418" s="122">
        <v>0</v>
      </c>
      <c r="M418" s="123">
        <v>43.8</v>
      </c>
      <c r="N418" s="123">
        <v>56.7</v>
      </c>
      <c r="O418" s="124">
        <f t="shared" si="6"/>
        <v>744.59999999999991</v>
      </c>
      <c r="P418" s="43" t="s">
        <v>1372</v>
      </c>
    </row>
    <row r="419" spans="1:16" x14ac:dyDescent="0.3">
      <c r="A419" s="16">
        <v>23</v>
      </c>
      <c r="B419" s="29" t="s">
        <v>521</v>
      </c>
      <c r="C419" s="29">
        <v>75437613</v>
      </c>
      <c r="D419" s="29" t="s">
        <v>478</v>
      </c>
      <c r="E419" s="44" t="s">
        <v>477</v>
      </c>
      <c r="F419" s="29" t="s">
        <v>996</v>
      </c>
      <c r="G419" s="122">
        <v>14</v>
      </c>
      <c r="H419" s="122">
        <v>4</v>
      </c>
      <c r="I419" s="123">
        <v>227.84</v>
      </c>
      <c r="J419" s="122">
        <v>0</v>
      </c>
      <c r="K419" s="122">
        <v>0</v>
      </c>
      <c r="L419" s="122">
        <v>0</v>
      </c>
      <c r="M419" s="123">
        <v>43.8</v>
      </c>
      <c r="N419" s="123">
        <v>56.7</v>
      </c>
      <c r="O419" s="124">
        <f t="shared" si="6"/>
        <v>613.19999999999993</v>
      </c>
      <c r="P419" s="43" t="s">
        <v>1372</v>
      </c>
    </row>
    <row r="420" spans="1:16" x14ac:dyDescent="0.3">
      <c r="A420" s="16">
        <v>169</v>
      </c>
      <c r="B420" s="29" t="s">
        <v>531</v>
      </c>
      <c r="C420" s="29">
        <v>75437617</v>
      </c>
      <c r="D420" s="29" t="s">
        <v>487</v>
      </c>
      <c r="E420" s="44" t="s">
        <v>477</v>
      </c>
      <c r="F420" s="29" t="s">
        <v>996</v>
      </c>
      <c r="G420" s="122">
        <v>14</v>
      </c>
      <c r="H420" s="122">
        <v>1</v>
      </c>
      <c r="I420" s="123">
        <v>20.8</v>
      </c>
      <c r="J420" s="122">
        <v>0</v>
      </c>
      <c r="K420" s="122">
        <v>0</v>
      </c>
      <c r="L420" s="122">
        <v>0</v>
      </c>
      <c r="M420" s="123">
        <v>16</v>
      </c>
      <c r="N420" s="123">
        <v>20.76</v>
      </c>
      <c r="O420" s="124">
        <f t="shared" si="6"/>
        <v>224</v>
      </c>
      <c r="P420" s="43" t="s">
        <v>1372</v>
      </c>
    </row>
    <row r="421" spans="1:16" x14ac:dyDescent="0.3">
      <c r="A421" s="16">
        <v>46</v>
      </c>
      <c r="B421" s="29" t="s">
        <v>519</v>
      </c>
      <c r="C421" s="29">
        <v>75437615</v>
      </c>
      <c r="D421" s="29" t="s">
        <v>476</v>
      </c>
      <c r="E421" s="44" t="s">
        <v>477</v>
      </c>
      <c r="F421" s="29" t="s">
        <v>995</v>
      </c>
      <c r="G421" s="122">
        <v>13</v>
      </c>
      <c r="H421" s="122">
        <v>4</v>
      </c>
      <c r="I421" s="123">
        <v>53.56</v>
      </c>
      <c r="J421" s="122">
        <v>0</v>
      </c>
      <c r="K421" s="122">
        <v>0</v>
      </c>
      <c r="L421" s="122">
        <v>0</v>
      </c>
      <c r="M421" s="123">
        <v>16</v>
      </c>
      <c r="N421" s="123">
        <v>20.76</v>
      </c>
      <c r="O421" s="124">
        <f t="shared" si="6"/>
        <v>208</v>
      </c>
      <c r="P421" s="43" t="s">
        <v>1372</v>
      </c>
    </row>
    <row r="422" spans="1:16" x14ac:dyDescent="0.3">
      <c r="A422" s="16">
        <v>727</v>
      </c>
      <c r="B422" s="29" t="s">
        <v>518</v>
      </c>
      <c r="C422" s="29">
        <v>75437615</v>
      </c>
      <c r="D422" s="29" t="s">
        <v>476</v>
      </c>
      <c r="E422" s="44" t="s">
        <v>477</v>
      </c>
      <c r="F422" s="29" t="s">
        <v>995</v>
      </c>
      <c r="G422" s="122">
        <v>13</v>
      </c>
      <c r="H422" s="122">
        <v>5</v>
      </c>
      <c r="I422" s="123">
        <v>89.18</v>
      </c>
      <c r="J422" s="122">
        <v>0</v>
      </c>
      <c r="K422" s="122">
        <v>0</v>
      </c>
      <c r="L422" s="122">
        <v>0</v>
      </c>
      <c r="M422" s="123">
        <v>16</v>
      </c>
      <c r="N422" s="123">
        <v>20.76</v>
      </c>
      <c r="O422" s="124">
        <f t="shared" si="6"/>
        <v>208</v>
      </c>
      <c r="P422" s="43" t="s">
        <v>1372</v>
      </c>
    </row>
    <row r="423" spans="1:16" x14ac:dyDescent="0.3">
      <c r="A423" s="16">
        <v>20</v>
      </c>
      <c r="B423" s="29" t="s">
        <v>552</v>
      </c>
      <c r="C423" s="29">
        <v>75437612</v>
      </c>
      <c r="D423" s="29" t="s">
        <v>481</v>
      </c>
      <c r="E423" s="44" t="s">
        <v>477</v>
      </c>
      <c r="F423" s="29" t="s">
        <v>996</v>
      </c>
      <c r="G423" s="122">
        <v>12</v>
      </c>
      <c r="H423" s="122">
        <v>1</v>
      </c>
      <c r="I423" s="123">
        <v>56.96</v>
      </c>
      <c r="J423" s="122">
        <v>0</v>
      </c>
      <c r="K423" s="122">
        <v>0</v>
      </c>
      <c r="L423" s="122">
        <v>0</v>
      </c>
      <c r="M423" s="123">
        <v>43.8</v>
      </c>
      <c r="N423" s="123">
        <v>56.7</v>
      </c>
      <c r="O423" s="124">
        <f t="shared" si="6"/>
        <v>525.59999999999991</v>
      </c>
      <c r="P423" s="43" t="s">
        <v>1372</v>
      </c>
    </row>
    <row r="424" spans="1:16" x14ac:dyDescent="0.3">
      <c r="A424" s="16">
        <v>4087</v>
      </c>
      <c r="B424" s="29" t="s">
        <v>532</v>
      </c>
      <c r="C424" s="29">
        <v>75437612</v>
      </c>
      <c r="D424" s="29" t="s">
        <v>481</v>
      </c>
      <c r="E424" s="44" t="s">
        <v>477</v>
      </c>
      <c r="F424" s="29" t="s">
        <v>996</v>
      </c>
      <c r="G424" s="122">
        <v>11</v>
      </c>
      <c r="H424" s="122">
        <v>1</v>
      </c>
      <c r="I424" s="123">
        <v>56.96</v>
      </c>
      <c r="J424" s="122">
        <v>0</v>
      </c>
      <c r="K424" s="122">
        <v>0</v>
      </c>
      <c r="L424" s="122">
        <v>0</v>
      </c>
      <c r="M424" s="123">
        <v>43.8</v>
      </c>
      <c r="N424" s="123">
        <v>56.7</v>
      </c>
      <c r="O424" s="124">
        <f t="shared" si="6"/>
        <v>481.79999999999995</v>
      </c>
      <c r="P424" s="43" t="s">
        <v>1372</v>
      </c>
    </row>
    <row r="425" spans="1:16" x14ac:dyDescent="0.3">
      <c r="A425" s="16">
        <v>4433</v>
      </c>
      <c r="B425" s="29" t="s">
        <v>520</v>
      </c>
      <c r="C425" s="29">
        <v>75437615</v>
      </c>
      <c r="D425" s="29" t="s">
        <v>476</v>
      </c>
      <c r="E425" s="44" t="s">
        <v>477</v>
      </c>
      <c r="F425" s="29" t="s">
        <v>995</v>
      </c>
      <c r="G425" s="122">
        <v>10</v>
      </c>
      <c r="H425" s="122">
        <v>4</v>
      </c>
      <c r="I425" s="123">
        <v>53.56</v>
      </c>
      <c r="J425" s="122">
        <v>0</v>
      </c>
      <c r="K425" s="122">
        <v>0</v>
      </c>
      <c r="L425" s="122">
        <v>0</v>
      </c>
      <c r="M425" s="123">
        <v>16</v>
      </c>
      <c r="N425" s="123">
        <v>20.76</v>
      </c>
      <c r="O425" s="124">
        <f t="shared" si="6"/>
        <v>160</v>
      </c>
      <c r="P425" s="43" t="s">
        <v>1372</v>
      </c>
    </row>
    <row r="426" spans="1:16" x14ac:dyDescent="0.3">
      <c r="A426" s="16">
        <v>169</v>
      </c>
      <c r="B426" s="29" t="s">
        <v>531</v>
      </c>
      <c r="C426" s="29">
        <v>75437619</v>
      </c>
      <c r="D426" s="29" t="s">
        <v>485</v>
      </c>
      <c r="E426" s="44" t="s">
        <v>477</v>
      </c>
      <c r="F426" s="29" t="s">
        <v>996</v>
      </c>
      <c r="G426" s="122">
        <v>9</v>
      </c>
      <c r="H426" s="122">
        <v>2</v>
      </c>
      <c r="I426" s="123">
        <v>47.68</v>
      </c>
      <c r="J426" s="122">
        <v>0</v>
      </c>
      <c r="K426" s="122">
        <v>0</v>
      </c>
      <c r="L426" s="122">
        <v>0</v>
      </c>
      <c r="M426" s="123">
        <v>18.25</v>
      </c>
      <c r="N426" s="123">
        <v>23.66</v>
      </c>
      <c r="O426" s="124">
        <f t="shared" si="6"/>
        <v>164.25</v>
      </c>
      <c r="P426" s="43" t="s">
        <v>1372</v>
      </c>
    </row>
    <row r="427" spans="1:16" x14ac:dyDescent="0.3">
      <c r="A427" s="16">
        <v>34</v>
      </c>
      <c r="B427" s="29" t="s">
        <v>529</v>
      </c>
      <c r="C427" s="29">
        <v>75437615</v>
      </c>
      <c r="D427" s="29" t="s">
        <v>476</v>
      </c>
      <c r="E427" s="44" t="s">
        <v>477</v>
      </c>
      <c r="F427" s="29" t="s">
        <v>995</v>
      </c>
      <c r="G427" s="122">
        <v>8</v>
      </c>
      <c r="H427" s="122">
        <v>11</v>
      </c>
      <c r="I427" s="123">
        <v>147.29</v>
      </c>
      <c r="J427" s="122">
        <v>0</v>
      </c>
      <c r="K427" s="122">
        <v>0</v>
      </c>
      <c r="L427" s="122">
        <v>0</v>
      </c>
      <c r="M427" s="123">
        <v>16</v>
      </c>
      <c r="N427" s="123">
        <v>20.76</v>
      </c>
      <c r="O427" s="124">
        <f t="shared" si="6"/>
        <v>128</v>
      </c>
      <c r="P427" s="43" t="s">
        <v>1372</v>
      </c>
    </row>
    <row r="428" spans="1:16" x14ac:dyDescent="0.3">
      <c r="A428" s="16">
        <v>22</v>
      </c>
      <c r="B428" s="29" t="s">
        <v>509</v>
      </c>
      <c r="C428" s="29">
        <v>75437612</v>
      </c>
      <c r="D428" s="29" t="s">
        <v>481</v>
      </c>
      <c r="E428" s="44" t="s">
        <v>477</v>
      </c>
      <c r="F428" s="29" t="s">
        <v>996</v>
      </c>
      <c r="G428" s="122">
        <v>7</v>
      </c>
      <c r="H428" s="122">
        <v>1</v>
      </c>
      <c r="I428" s="123">
        <v>26.79</v>
      </c>
      <c r="J428" s="122">
        <v>0</v>
      </c>
      <c r="K428" s="122">
        <v>0</v>
      </c>
      <c r="L428" s="122">
        <v>0</v>
      </c>
      <c r="M428" s="123">
        <v>43.8</v>
      </c>
      <c r="N428" s="123">
        <v>56.7</v>
      </c>
      <c r="O428" s="124">
        <f t="shared" si="6"/>
        <v>306.59999999999997</v>
      </c>
      <c r="P428" s="43" t="s">
        <v>1372</v>
      </c>
    </row>
    <row r="429" spans="1:16" x14ac:dyDescent="0.3">
      <c r="A429" s="16">
        <v>108</v>
      </c>
      <c r="B429" s="29" t="s">
        <v>512</v>
      </c>
      <c r="C429" s="29">
        <v>75437613</v>
      </c>
      <c r="D429" s="29" t="s">
        <v>478</v>
      </c>
      <c r="E429" s="44" t="s">
        <v>477</v>
      </c>
      <c r="F429" s="29" t="s">
        <v>996</v>
      </c>
      <c r="G429" s="122">
        <v>7</v>
      </c>
      <c r="H429" s="122">
        <v>3</v>
      </c>
      <c r="I429" s="123">
        <v>170.88</v>
      </c>
      <c r="J429" s="122">
        <v>0</v>
      </c>
      <c r="K429" s="122">
        <v>0</v>
      </c>
      <c r="L429" s="122">
        <v>0</v>
      </c>
      <c r="M429" s="123">
        <v>43.8</v>
      </c>
      <c r="N429" s="123">
        <v>56.7</v>
      </c>
      <c r="O429" s="124">
        <f t="shared" si="6"/>
        <v>306.59999999999997</v>
      </c>
      <c r="P429" s="43" t="s">
        <v>1372</v>
      </c>
    </row>
    <row r="430" spans="1:16" x14ac:dyDescent="0.3">
      <c r="A430" s="16">
        <v>4490</v>
      </c>
      <c r="B430" s="29" t="s">
        <v>537</v>
      </c>
      <c r="C430" s="29">
        <v>75437615</v>
      </c>
      <c r="D430" s="29" t="s">
        <v>476</v>
      </c>
      <c r="E430" s="44" t="s">
        <v>477</v>
      </c>
      <c r="F430" s="29" t="s">
        <v>995</v>
      </c>
      <c r="G430" s="122">
        <v>7</v>
      </c>
      <c r="H430" s="122">
        <v>3</v>
      </c>
      <c r="I430" s="123">
        <v>62.4</v>
      </c>
      <c r="J430" s="122">
        <v>0</v>
      </c>
      <c r="K430" s="122">
        <v>0</v>
      </c>
      <c r="L430" s="122">
        <v>0</v>
      </c>
      <c r="M430" s="123">
        <v>16</v>
      </c>
      <c r="N430" s="123">
        <v>20.76</v>
      </c>
      <c r="O430" s="124">
        <f t="shared" si="6"/>
        <v>112</v>
      </c>
      <c r="P430" s="43" t="s">
        <v>1372</v>
      </c>
    </row>
    <row r="431" spans="1:16" x14ac:dyDescent="0.3">
      <c r="A431" s="16">
        <v>47</v>
      </c>
      <c r="B431" s="29" t="s">
        <v>516</v>
      </c>
      <c r="C431" s="29">
        <v>75437615</v>
      </c>
      <c r="D431" s="29" t="s">
        <v>476</v>
      </c>
      <c r="E431" s="44" t="s">
        <v>477</v>
      </c>
      <c r="F431" s="29" t="s">
        <v>995</v>
      </c>
      <c r="G431" s="122">
        <v>4</v>
      </c>
      <c r="H431" s="122">
        <v>1</v>
      </c>
      <c r="I431" s="123">
        <v>13.39</v>
      </c>
      <c r="J431" s="122">
        <v>0</v>
      </c>
      <c r="K431" s="122">
        <v>0</v>
      </c>
      <c r="L431" s="122">
        <v>0</v>
      </c>
      <c r="M431" s="123">
        <v>16</v>
      </c>
      <c r="N431" s="123">
        <v>20.76</v>
      </c>
      <c r="O431" s="124">
        <f t="shared" si="6"/>
        <v>64</v>
      </c>
      <c r="P431" s="43" t="s">
        <v>1372</v>
      </c>
    </row>
    <row r="432" spans="1:16" x14ac:dyDescent="0.3">
      <c r="A432" s="16">
        <v>169</v>
      </c>
      <c r="B432" s="29" t="s">
        <v>531</v>
      </c>
      <c r="C432" s="29">
        <v>75437615</v>
      </c>
      <c r="D432" s="29" t="s">
        <v>476</v>
      </c>
      <c r="E432" s="44" t="s">
        <v>477</v>
      </c>
      <c r="F432" s="29" t="s">
        <v>995</v>
      </c>
      <c r="G432" s="122">
        <v>1</v>
      </c>
      <c r="H432" s="122">
        <v>10</v>
      </c>
      <c r="I432" s="123">
        <v>178.36</v>
      </c>
      <c r="J432" s="122">
        <v>0</v>
      </c>
      <c r="K432" s="122">
        <v>0</v>
      </c>
      <c r="L432" s="122">
        <v>0</v>
      </c>
      <c r="M432" s="123">
        <v>16</v>
      </c>
      <c r="N432" s="123">
        <v>20.76</v>
      </c>
      <c r="O432" s="124">
        <f t="shared" si="6"/>
        <v>16</v>
      </c>
      <c r="P432" s="43" t="s">
        <v>1372</v>
      </c>
    </row>
    <row r="433" spans="1:16" x14ac:dyDescent="0.3">
      <c r="A433" s="16">
        <v>457</v>
      </c>
      <c r="B433" s="29" t="s">
        <v>511</v>
      </c>
      <c r="C433" s="29">
        <v>75437615</v>
      </c>
      <c r="D433" s="29" t="s">
        <v>476</v>
      </c>
      <c r="E433" s="44" t="s">
        <v>477</v>
      </c>
      <c r="F433" s="29" t="s">
        <v>995</v>
      </c>
      <c r="G433" s="122">
        <v>0</v>
      </c>
      <c r="H433" s="122">
        <v>3</v>
      </c>
      <c r="I433" s="123">
        <v>62.4</v>
      </c>
      <c r="J433" s="122">
        <v>0</v>
      </c>
      <c r="K433" s="122">
        <v>20</v>
      </c>
      <c r="L433" s="122">
        <v>0</v>
      </c>
      <c r="M433" s="123">
        <v>16</v>
      </c>
      <c r="N433" s="123">
        <v>20.76</v>
      </c>
      <c r="O433" s="124">
        <f t="shared" si="6"/>
        <v>0</v>
      </c>
      <c r="P433" s="44" t="s">
        <v>1373</v>
      </c>
    </row>
    <row r="434" spans="1:16" x14ac:dyDescent="0.3">
      <c r="A434" s="16">
        <v>4173</v>
      </c>
      <c r="B434" s="29" t="s">
        <v>539</v>
      </c>
      <c r="C434" s="29">
        <v>75437612</v>
      </c>
      <c r="D434" s="29" t="s">
        <v>481</v>
      </c>
      <c r="E434" s="44" t="s">
        <v>477</v>
      </c>
      <c r="F434" s="29" t="s">
        <v>996</v>
      </c>
      <c r="G434" s="122">
        <v>0</v>
      </c>
      <c r="H434" s="122">
        <v>0</v>
      </c>
      <c r="I434" s="123">
        <v>0</v>
      </c>
      <c r="J434" s="122">
        <v>0</v>
      </c>
      <c r="K434" s="122">
        <v>20</v>
      </c>
      <c r="L434" s="122">
        <v>0</v>
      </c>
      <c r="M434" s="123">
        <v>43.8</v>
      </c>
      <c r="N434" s="123">
        <v>56.7</v>
      </c>
      <c r="O434" s="124">
        <f t="shared" si="6"/>
        <v>0</v>
      </c>
      <c r="P434" s="45" t="s">
        <v>1374</v>
      </c>
    </row>
    <row r="435" spans="1:16" x14ac:dyDescent="0.3">
      <c r="A435" s="16">
        <v>23</v>
      </c>
      <c r="B435" s="29" t="s">
        <v>521</v>
      </c>
      <c r="C435" s="29">
        <v>75437615</v>
      </c>
      <c r="D435" s="29" t="s">
        <v>476</v>
      </c>
      <c r="E435" s="44" t="s">
        <v>477</v>
      </c>
      <c r="F435" s="29" t="s">
        <v>995</v>
      </c>
      <c r="G435" s="122">
        <v>0</v>
      </c>
      <c r="H435" s="122">
        <v>0</v>
      </c>
      <c r="I435" s="123">
        <v>0</v>
      </c>
      <c r="J435" s="122">
        <v>0</v>
      </c>
      <c r="K435" s="122">
        <v>20</v>
      </c>
      <c r="L435" s="122">
        <v>0</v>
      </c>
      <c r="M435" s="123">
        <v>16</v>
      </c>
      <c r="N435" s="123">
        <v>20.76</v>
      </c>
      <c r="O435" s="124">
        <f t="shared" si="6"/>
        <v>0</v>
      </c>
      <c r="P435" s="45" t="s">
        <v>1374</v>
      </c>
    </row>
    <row r="436" spans="1:16" x14ac:dyDescent="0.3">
      <c r="A436" s="16">
        <v>35</v>
      </c>
      <c r="B436" s="29" t="s">
        <v>549</v>
      </c>
      <c r="C436" s="29">
        <v>75437615</v>
      </c>
      <c r="D436" s="29" t="s">
        <v>476</v>
      </c>
      <c r="E436" s="44" t="s">
        <v>477</v>
      </c>
      <c r="F436" s="29" t="s">
        <v>995</v>
      </c>
      <c r="G436" s="122">
        <v>0</v>
      </c>
      <c r="H436" s="122">
        <v>0</v>
      </c>
      <c r="I436" s="123">
        <v>0</v>
      </c>
      <c r="J436" s="122">
        <v>0</v>
      </c>
      <c r="K436" s="122">
        <v>20</v>
      </c>
      <c r="L436" s="122">
        <v>0</v>
      </c>
      <c r="M436" s="123">
        <v>16</v>
      </c>
      <c r="N436" s="123">
        <v>20.76</v>
      </c>
      <c r="O436" s="124">
        <f t="shared" si="6"/>
        <v>0</v>
      </c>
      <c r="P436" s="45" t="s">
        <v>1374</v>
      </c>
    </row>
    <row r="437" spans="1:16" x14ac:dyDescent="0.3">
      <c r="A437" s="16">
        <v>164</v>
      </c>
      <c r="B437" s="29" t="s">
        <v>555</v>
      </c>
      <c r="C437" s="29">
        <v>75437615</v>
      </c>
      <c r="D437" s="29" t="s">
        <v>476</v>
      </c>
      <c r="E437" s="44" t="s">
        <v>477</v>
      </c>
      <c r="F437" s="29" t="s">
        <v>995</v>
      </c>
      <c r="G437" s="122">
        <v>0</v>
      </c>
      <c r="H437" s="122">
        <v>0</v>
      </c>
      <c r="I437" s="123">
        <v>0</v>
      </c>
      <c r="J437" s="122">
        <v>0</v>
      </c>
      <c r="K437" s="122">
        <v>20</v>
      </c>
      <c r="L437" s="122">
        <v>0</v>
      </c>
      <c r="M437" s="123">
        <v>16</v>
      </c>
      <c r="N437" s="123">
        <v>20.76</v>
      </c>
      <c r="O437" s="124">
        <f t="shared" si="6"/>
        <v>0</v>
      </c>
      <c r="P437" s="45" t="s">
        <v>1374</v>
      </c>
    </row>
    <row r="438" spans="1:16" x14ac:dyDescent="0.3">
      <c r="A438" s="16">
        <v>4173</v>
      </c>
      <c r="B438" s="29" t="s">
        <v>539</v>
      </c>
      <c r="C438" s="29">
        <v>75437615</v>
      </c>
      <c r="D438" s="29" t="s">
        <v>476</v>
      </c>
      <c r="E438" s="44" t="s">
        <v>477</v>
      </c>
      <c r="F438" s="29" t="s">
        <v>995</v>
      </c>
      <c r="G438" s="122">
        <v>0</v>
      </c>
      <c r="H438" s="122">
        <v>0</v>
      </c>
      <c r="I438" s="123">
        <v>0</v>
      </c>
      <c r="J438" s="122">
        <v>0</v>
      </c>
      <c r="K438" s="122">
        <v>20</v>
      </c>
      <c r="L438" s="122">
        <v>0</v>
      </c>
      <c r="M438" s="123">
        <v>16</v>
      </c>
      <c r="N438" s="123">
        <v>20.76</v>
      </c>
      <c r="O438" s="124">
        <f t="shared" si="6"/>
        <v>0</v>
      </c>
      <c r="P438" s="45" t="s">
        <v>1374</v>
      </c>
    </row>
    <row r="439" spans="1:16" x14ac:dyDescent="0.3">
      <c r="A439" s="16">
        <v>414</v>
      </c>
      <c r="B439" s="29" t="s">
        <v>544</v>
      </c>
      <c r="C439" s="29">
        <v>75437617</v>
      </c>
      <c r="D439" s="29" t="s">
        <v>487</v>
      </c>
      <c r="E439" s="44" t="s">
        <v>477</v>
      </c>
      <c r="F439" s="29" t="s">
        <v>996</v>
      </c>
      <c r="G439" s="122">
        <v>0</v>
      </c>
      <c r="H439" s="122">
        <v>0</v>
      </c>
      <c r="I439" s="123">
        <v>0</v>
      </c>
      <c r="J439" s="122">
        <v>0</v>
      </c>
      <c r="K439" s="122">
        <v>20</v>
      </c>
      <c r="L439" s="122">
        <v>0</v>
      </c>
      <c r="M439" s="123">
        <v>16</v>
      </c>
      <c r="N439" s="123">
        <v>20.76</v>
      </c>
      <c r="O439" s="124">
        <f t="shared" si="6"/>
        <v>0</v>
      </c>
      <c r="P439" s="45" t="s">
        <v>1374</v>
      </c>
    </row>
    <row r="440" spans="1:16" x14ac:dyDescent="0.3">
      <c r="A440" s="16">
        <v>1054</v>
      </c>
      <c r="B440" s="29" t="s">
        <v>524</v>
      </c>
      <c r="C440" s="29">
        <v>75437617</v>
      </c>
      <c r="D440" s="29" t="s">
        <v>487</v>
      </c>
      <c r="E440" s="44" t="s">
        <v>477</v>
      </c>
      <c r="F440" s="29" t="s">
        <v>996</v>
      </c>
      <c r="G440" s="122">
        <v>0</v>
      </c>
      <c r="H440" s="122">
        <v>0</v>
      </c>
      <c r="I440" s="123">
        <v>0</v>
      </c>
      <c r="J440" s="122">
        <v>0</v>
      </c>
      <c r="K440" s="122">
        <v>20</v>
      </c>
      <c r="L440" s="122">
        <v>0</v>
      </c>
      <c r="M440" s="123">
        <v>16</v>
      </c>
      <c r="N440" s="123">
        <v>20.76</v>
      </c>
      <c r="O440" s="124">
        <f t="shared" si="6"/>
        <v>0</v>
      </c>
      <c r="P440" s="45" t="s">
        <v>1374</v>
      </c>
    </row>
    <row r="441" spans="1:16" x14ac:dyDescent="0.3">
      <c r="A441" s="16">
        <v>344</v>
      </c>
      <c r="B441" s="29" t="s">
        <v>535</v>
      </c>
      <c r="C441" s="29">
        <v>75437618</v>
      </c>
      <c r="D441" s="29" t="s">
        <v>484</v>
      </c>
      <c r="E441" s="44" t="s">
        <v>477</v>
      </c>
      <c r="F441" s="29" t="s">
        <v>996</v>
      </c>
      <c r="G441" s="122">
        <v>0</v>
      </c>
      <c r="H441" s="122">
        <v>0</v>
      </c>
      <c r="I441" s="123">
        <v>0</v>
      </c>
      <c r="J441" s="122">
        <v>0</v>
      </c>
      <c r="K441" s="122">
        <v>20</v>
      </c>
      <c r="L441" s="122">
        <v>0</v>
      </c>
      <c r="M441" s="123">
        <v>18.25</v>
      </c>
      <c r="N441" s="123">
        <v>23.66</v>
      </c>
      <c r="O441" s="124">
        <f t="shared" si="6"/>
        <v>0</v>
      </c>
      <c r="P441" s="45" t="s">
        <v>1374</v>
      </c>
    </row>
    <row r="442" spans="1:16" x14ac:dyDescent="0.3">
      <c r="A442" s="16">
        <v>414</v>
      </c>
      <c r="B442" s="29" t="s">
        <v>544</v>
      </c>
      <c r="C442" s="29">
        <v>75437618</v>
      </c>
      <c r="D442" s="29" t="s">
        <v>484</v>
      </c>
      <c r="E442" s="44" t="s">
        <v>477</v>
      </c>
      <c r="F442" s="29" t="s">
        <v>996</v>
      </c>
      <c r="G442" s="122">
        <v>0</v>
      </c>
      <c r="H442" s="122">
        <v>0</v>
      </c>
      <c r="I442" s="123">
        <v>0</v>
      </c>
      <c r="J442" s="122">
        <v>0</v>
      </c>
      <c r="K442" s="122">
        <v>20</v>
      </c>
      <c r="L442" s="122">
        <v>0</v>
      </c>
      <c r="M442" s="123">
        <v>18.25</v>
      </c>
      <c r="N442" s="123">
        <v>23.66</v>
      </c>
      <c r="O442" s="124">
        <f t="shared" si="6"/>
        <v>0</v>
      </c>
      <c r="P442" s="45" t="s">
        <v>1374</v>
      </c>
    </row>
    <row r="443" spans="1:16" x14ac:dyDescent="0.3">
      <c r="A443" s="16">
        <v>414</v>
      </c>
      <c r="B443" s="29" t="s">
        <v>544</v>
      </c>
      <c r="C443" s="29">
        <v>75437619</v>
      </c>
      <c r="D443" s="29" t="s">
        <v>485</v>
      </c>
      <c r="E443" s="44" t="s">
        <v>477</v>
      </c>
      <c r="F443" s="29" t="s">
        <v>996</v>
      </c>
      <c r="G443" s="122">
        <v>0</v>
      </c>
      <c r="H443" s="122">
        <v>0</v>
      </c>
      <c r="I443" s="123">
        <v>0</v>
      </c>
      <c r="J443" s="122">
        <v>0</v>
      </c>
      <c r="K443" s="122">
        <v>20</v>
      </c>
      <c r="L443" s="122">
        <v>0</v>
      </c>
      <c r="M443" s="123">
        <v>18.25</v>
      </c>
      <c r="N443" s="123">
        <v>23.66</v>
      </c>
      <c r="O443" s="124">
        <f t="shared" si="6"/>
        <v>0</v>
      </c>
      <c r="P443" s="45" t="s">
        <v>1374</v>
      </c>
    </row>
    <row r="444" spans="1:16" x14ac:dyDescent="0.3">
      <c r="A444" s="16">
        <v>4173</v>
      </c>
      <c r="B444" s="29" t="s">
        <v>539</v>
      </c>
      <c r="C444" s="29">
        <v>75437619</v>
      </c>
      <c r="D444" s="29" t="s">
        <v>485</v>
      </c>
      <c r="E444" s="44" t="s">
        <v>477</v>
      </c>
      <c r="F444" s="29" t="s">
        <v>996</v>
      </c>
      <c r="G444" s="122">
        <v>0</v>
      </c>
      <c r="H444" s="122">
        <v>0</v>
      </c>
      <c r="I444" s="123">
        <v>0</v>
      </c>
      <c r="J444" s="122">
        <v>0</v>
      </c>
      <c r="K444" s="122">
        <v>20</v>
      </c>
      <c r="L444" s="122">
        <v>0</v>
      </c>
      <c r="M444" s="123">
        <v>18.25</v>
      </c>
      <c r="N444" s="123">
        <v>23.66</v>
      </c>
      <c r="O444" s="124">
        <f t="shared" si="6"/>
        <v>0</v>
      </c>
      <c r="P444" s="45" t="s">
        <v>1374</v>
      </c>
    </row>
    <row r="445" spans="1:16" x14ac:dyDescent="0.3">
      <c r="A445" s="16">
        <v>344</v>
      </c>
      <c r="B445" s="29" t="s">
        <v>535</v>
      </c>
      <c r="C445" s="29">
        <v>75437620</v>
      </c>
      <c r="D445" s="29" t="s">
        <v>486</v>
      </c>
      <c r="E445" s="44" t="s">
        <v>477</v>
      </c>
      <c r="F445" s="29" t="s">
        <v>996</v>
      </c>
      <c r="G445" s="122">
        <v>0</v>
      </c>
      <c r="H445" s="122">
        <v>0</v>
      </c>
      <c r="I445" s="123">
        <v>0</v>
      </c>
      <c r="J445" s="122">
        <v>0</v>
      </c>
      <c r="K445" s="122">
        <v>20</v>
      </c>
      <c r="L445" s="122">
        <v>0</v>
      </c>
      <c r="M445" s="123">
        <v>18.25</v>
      </c>
      <c r="N445" s="123">
        <v>23.66</v>
      </c>
      <c r="O445" s="124">
        <f t="shared" si="6"/>
        <v>0</v>
      </c>
      <c r="P445" s="45" t="s">
        <v>1374</v>
      </c>
    </row>
    <row r="446" spans="1:16" x14ac:dyDescent="0.3">
      <c r="A446" s="16">
        <v>4176</v>
      </c>
      <c r="B446" s="29" t="s">
        <v>536</v>
      </c>
      <c r="C446" s="29">
        <v>75437620</v>
      </c>
      <c r="D446" s="29" t="s">
        <v>486</v>
      </c>
      <c r="E446" s="44" t="s">
        <v>477</v>
      </c>
      <c r="F446" s="29" t="s">
        <v>996</v>
      </c>
      <c r="G446" s="122">
        <v>0</v>
      </c>
      <c r="H446" s="122">
        <v>0</v>
      </c>
      <c r="I446" s="123">
        <v>0</v>
      </c>
      <c r="J446" s="122">
        <v>0</v>
      </c>
      <c r="K446" s="122">
        <v>20</v>
      </c>
      <c r="L446" s="122">
        <v>0</v>
      </c>
      <c r="M446" s="123">
        <v>18.25</v>
      </c>
      <c r="N446" s="123">
        <v>23.66</v>
      </c>
      <c r="O446" s="124">
        <f t="shared" si="6"/>
        <v>0</v>
      </c>
      <c r="P446" s="45" t="s">
        <v>1374</v>
      </c>
    </row>
  </sheetData>
  <autoFilter ref="A3:P446" xr:uid="{00000000-0009-0000-0000-000018000000}"/>
  <hyperlinks>
    <hyperlink ref="A2" location="'0. HUB'!A1" display="◀ HUB" xr:uid="{00000000-0004-0000-18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0. HUB</vt:lpstr>
      <vt:lpstr>TESIS</vt:lpstr>
      <vt:lpstr>9. DATA CHECK</vt:lpstr>
      <vt:lpstr>1. ACCIONES URGENTES</vt:lpstr>
      <vt:lpstr>2. BITÁCORA</vt:lpstr>
      <vt:lpstr>3. KPI SEMANAL</vt:lpstr>
      <vt:lpstr>Antes vs Después</vt:lpstr>
      <vt:lpstr>4. SELL-OUT</vt:lpstr>
      <vt:lpstr>5. SELL-THROUGH</vt:lpstr>
      <vt:lpstr>6. SELL-IN PIPELINE</vt:lpstr>
      <vt:lpstr>Inventario Clan (Odoo)</vt:lpstr>
      <vt:lpstr>HISTÓRICO 112 SEM</vt:lpstr>
      <vt:lpstr>MAX SHELF (VNDR9)</vt:lpstr>
      <vt:lpstr>Modelo Pedido</vt:lpstr>
      <vt:lpstr>Prepedido Oktoberfest</vt:lpstr>
      <vt:lpstr>Liquidación</vt:lpstr>
      <vt:lpstr>Vencimientos</vt:lpstr>
      <vt:lpstr>8. MERCADERISTAS</vt:lpstr>
      <vt:lpstr>Campo v2 (17 tiendas)</vt:lpstr>
      <vt:lpstr>Verificación Campo</vt:lpstr>
      <vt:lpstr>Prioridad Tiendas</vt:lpstr>
      <vt:lpstr>Plantilla Mercaderistas</vt:lpstr>
      <vt:lpstr>7. CATÁLOGO</vt:lpstr>
      <vt:lpstr>Resumen</vt:lpstr>
      <vt:lpstr>Detalle 443 combos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Diego Arriaza</cp:lastModifiedBy>
  <cp:revision>3</cp:revision>
  <dcterms:created xsi:type="dcterms:W3CDTF">2026-08-17T19:44:32Z</dcterms:created>
  <dcterms:modified xsi:type="dcterms:W3CDTF">2026-08-25T02:38:34Z</dcterms:modified>
  <dc:language>en-US</dc:language>
</cp:coreProperties>
</file>